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Desafio MN Raices de Ecuaciones\"/>
    </mc:Choice>
  </mc:AlternateContent>
  <xr:revisionPtr revIDLastSave="0" documentId="13_ncr:1_{6D5E0011-0485-4CF1-B928-58A88DF05ED2}" xr6:coauthVersionLast="47" xr6:coauthVersionMax="47" xr10:uidLastSave="{00000000-0000-0000-0000-000000000000}"/>
  <bookViews>
    <workbookView xWindow="-108" yWindow="-108" windowWidth="23256" windowHeight="12456" activeTab="3" xr2:uid="{94D50FFC-7794-4460-A87E-C44E4FA268DF}"/>
  </bookViews>
  <sheets>
    <sheet name="Problema1" sheetId="1" r:id="rId1"/>
    <sheet name="Problema2" sheetId="2" r:id="rId2"/>
    <sheet name="Problema3" sheetId="3" r:id="rId3"/>
    <sheet name="Problem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2" i="1" l="1"/>
  <c r="D13" i="1"/>
  <c r="E55" i="4"/>
  <c r="E54" i="4"/>
  <c r="E39" i="4"/>
  <c r="D39" i="4"/>
  <c r="F26" i="4"/>
  <c r="G26" i="4"/>
  <c r="H26" i="4"/>
  <c r="E26" i="4"/>
  <c r="D26" i="4"/>
  <c r="C26" i="4"/>
  <c r="F25" i="4"/>
  <c r="G25" i="4"/>
  <c r="H25" i="4"/>
  <c r="E25" i="4"/>
  <c r="D25" i="4"/>
  <c r="C25" i="4"/>
  <c r="F24" i="4"/>
  <c r="G24" i="4"/>
  <c r="H24" i="4"/>
  <c r="E24" i="4"/>
  <c r="D24" i="4"/>
  <c r="C24" i="4"/>
  <c r="F23" i="4"/>
  <c r="G23" i="4"/>
  <c r="H23" i="4"/>
  <c r="E23" i="4"/>
  <c r="D23" i="4"/>
  <c r="C23" i="4"/>
  <c r="F22" i="4"/>
  <c r="G22" i="4"/>
  <c r="H22" i="4"/>
  <c r="E22" i="4"/>
  <c r="D22" i="4"/>
  <c r="C22" i="4"/>
  <c r="F21" i="4"/>
  <c r="G21" i="4"/>
  <c r="H21" i="4"/>
  <c r="E21" i="4"/>
  <c r="D21" i="4"/>
  <c r="C21" i="4"/>
  <c r="F20" i="4"/>
  <c r="G20" i="4"/>
  <c r="H20" i="4"/>
  <c r="E20" i="4"/>
  <c r="C19" i="4"/>
  <c r="F19" i="4" s="1"/>
  <c r="G18" i="4"/>
  <c r="F18" i="4"/>
  <c r="D10" i="4"/>
  <c r="D9" i="4"/>
  <c r="E56" i="3"/>
  <c r="E55" i="3"/>
  <c r="E40" i="3"/>
  <c r="D40" i="3"/>
  <c r="D31" i="3"/>
  <c r="E31" i="3"/>
  <c r="H31" i="3"/>
  <c r="G31" i="3"/>
  <c r="C31" i="3"/>
  <c r="F31" i="3"/>
  <c r="D30" i="3"/>
  <c r="E30" i="3" s="1"/>
  <c r="H30" i="3" s="1"/>
  <c r="G30" i="3"/>
  <c r="C30" i="3"/>
  <c r="F30" i="3" s="1"/>
  <c r="G19" i="3"/>
  <c r="D19" i="3"/>
  <c r="G18" i="3"/>
  <c r="F18" i="3"/>
  <c r="D9" i="3"/>
  <c r="D10" i="3"/>
  <c r="E55" i="2"/>
  <c r="E54" i="2"/>
  <c r="D42" i="2"/>
  <c r="E42" i="2"/>
  <c r="C42" i="2"/>
  <c r="D41" i="2"/>
  <c r="E41" i="2"/>
  <c r="C41" i="2"/>
  <c r="D40" i="2"/>
  <c r="E40" i="2"/>
  <c r="C40" i="2"/>
  <c r="D39" i="2"/>
  <c r="E39" i="2"/>
  <c r="C39" i="2"/>
  <c r="E38" i="2"/>
  <c r="D38" i="2"/>
  <c r="F29" i="2"/>
  <c r="G29" i="2"/>
  <c r="H29" i="2"/>
  <c r="E29" i="2"/>
  <c r="D29" i="2"/>
  <c r="C29" i="2"/>
  <c r="F28" i="2"/>
  <c r="G28" i="2"/>
  <c r="H28" i="2"/>
  <c r="E28" i="2"/>
  <c r="D28" i="2"/>
  <c r="C28" i="2"/>
  <c r="C19" i="2"/>
  <c r="F19" i="2" s="1"/>
  <c r="G18" i="2"/>
  <c r="F18" i="2"/>
  <c r="D10" i="2"/>
  <c r="D9" i="2"/>
  <c r="E61" i="1"/>
  <c r="E60" i="1"/>
  <c r="D56" i="4" l="1"/>
  <c r="D57" i="3"/>
  <c r="D56" i="2"/>
  <c r="D62" i="1"/>
  <c r="D50" i="1"/>
  <c r="E50" i="1"/>
  <c r="C50" i="1"/>
  <c r="D49" i="1"/>
  <c r="E49" i="1"/>
  <c r="C49" i="1"/>
  <c r="D48" i="1"/>
  <c r="E48" i="1"/>
  <c r="C48" i="1"/>
  <c r="D47" i="1"/>
  <c r="E47" i="1"/>
  <c r="C47" i="1"/>
  <c r="D46" i="1"/>
  <c r="E46" i="1"/>
  <c r="C46" i="1"/>
  <c r="E45" i="1"/>
  <c r="D45" i="1"/>
  <c r="F35" i="1"/>
  <c r="G35" i="1"/>
  <c r="H35" i="1"/>
  <c r="E35" i="1"/>
  <c r="D35" i="1"/>
  <c r="C35" i="1"/>
  <c r="F34" i="1"/>
  <c r="G34" i="1"/>
  <c r="H34" i="1"/>
  <c r="E34" i="1"/>
  <c r="D34" i="1"/>
  <c r="C34" i="1"/>
  <c r="F33" i="1"/>
  <c r="G33" i="1"/>
  <c r="H33" i="1"/>
  <c r="E33" i="1"/>
  <c r="D33" i="1"/>
  <c r="C33" i="1"/>
  <c r="F32" i="1"/>
  <c r="G32" i="1"/>
  <c r="H32" i="1"/>
  <c r="E32" i="1"/>
  <c r="D32" i="1"/>
  <c r="C32" i="1"/>
  <c r="F31" i="1"/>
  <c r="G31" i="1"/>
  <c r="H31" i="1"/>
  <c r="E31" i="1"/>
  <c r="D31" i="1"/>
  <c r="C31" i="1"/>
  <c r="F30" i="1"/>
  <c r="G30" i="1"/>
  <c r="H30" i="1"/>
  <c r="E30" i="1"/>
  <c r="D30" i="1"/>
  <c r="C30" i="1"/>
  <c r="F29" i="1"/>
  <c r="G29" i="1"/>
  <c r="H29" i="1"/>
  <c r="E29" i="1"/>
  <c r="D29" i="1"/>
  <c r="C29" i="1"/>
  <c r="F28" i="1"/>
  <c r="G28" i="1"/>
  <c r="H28" i="1"/>
  <c r="E28" i="1"/>
  <c r="D28" i="1"/>
  <c r="C28" i="1"/>
  <c r="F27" i="1"/>
  <c r="G27" i="1"/>
  <c r="H27" i="1"/>
  <c r="E27" i="1"/>
  <c r="D27" i="1"/>
  <c r="C27" i="1"/>
  <c r="F26" i="1"/>
  <c r="G26" i="1"/>
  <c r="H26" i="1"/>
  <c r="E26" i="1"/>
  <c r="D26" i="1"/>
  <c r="C26" i="1"/>
  <c r="F25" i="1"/>
  <c r="G25" i="1"/>
  <c r="H25" i="1"/>
  <c r="E25" i="1"/>
  <c r="D25" i="1"/>
  <c r="C25" i="1"/>
  <c r="F24" i="1"/>
  <c r="G24" i="1"/>
  <c r="H24" i="1"/>
  <c r="E24" i="1"/>
  <c r="D24" i="1"/>
  <c r="C24" i="1"/>
  <c r="F23" i="1"/>
  <c r="G23" i="1"/>
  <c r="H23" i="1"/>
  <c r="E23" i="1"/>
  <c r="D23" i="1"/>
  <c r="C23" i="1"/>
  <c r="G22" i="1"/>
  <c r="H22" i="1"/>
  <c r="F22" i="1"/>
  <c r="D14" i="1"/>
  <c r="E18" i="4"/>
  <c r="C41" i="3"/>
  <c r="E18" i="3"/>
  <c r="E18" i="2"/>
  <c r="E56" i="2" l="1"/>
  <c r="D57" i="2" s="1"/>
  <c r="E56" i="4"/>
  <c r="D57" i="4" s="1"/>
  <c r="H18" i="4"/>
  <c r="D19" i="4"/>
  <c r="C40" i="4"/>
  <c r="E57" i="3"/>
  <c r="D58" i="3" s="1"/>
  <c r="E41" i="3"/>
  <c r="D41" i="3"/>
  <c r="H18" i="3"/>
  <c r="C19" i="3"/>
  <c r="D19" i="2"/>
  <c r="H18" i="2"/>
  <c r="E62" i="1"/>
  <c r="D63" i="1" s="1"/>
  <c r="E57" i="2" l="1"/>
  <c r="D58" i="2" s="1"/>
  <c r="E57" i="4"/>
  <c r="D58" i="4" s="1"/>
  <c r="D40" i="4"/>
  <c r="E40" i="4"/>
  <c r="D20" i="4"/>
  <c r="G19" i="4"/>
  <c r="E19" i="4"/>
  <c r="E58" i="3"/>
  <c r="D59" i="3" s="1"/>
  <c r="C42" i="3"/>
  <c r="E42" i="3"/>
  <c r="D42" i="3"/>
  <c r="C43" i="3" s="1"/>
  <c r="C20" i="3"/>
  <c r="F19" i="3"/>
  <c r="E19" i="3"/>
  <c r="G19" i="2"/>
  <c r="D20" i="2"/>
  <c r="E19" i="2"/>
  <c r="E63" i="1"/>
  <c r="D64" i="1" s="1"/>
  <c r="E58" i="2" l="1"/>
  <c r="D59" i="2" s="1"/>
  <c r="E58" i="4"/>
  <c r="D59" i="4" s="1"/>
  <c r="C41" i="4"/>
  <c r="D41" i="4"/>
  <c r="E41" i="4"/>
  <c r="H19" i="4"/>
  <c r="C20" i="4"/>
  <c r="E59" i="3"/>
  <c r="D60" i="3" s="1"/>
  <c r="D43" i="3"/>
  <c r="E43" i="3"/>
  <c r="H19" i="3"/>
  <c r="D20" i="3"/>
  <c r="G20" i="3" s="1"/>
  <c r="F20" i="3"/>
  <c r="C21" i="3"/>
  <c r="E20" i="3"/>
  <c r="H19" i="2"/>
  <c r="C20" i="2"/>
  <c r="D21" i="2"/>
  <c r="G21" i="2" s="1"/>
  <c r="G20" i="2"/>
  <c r="E64" i="1"/>
  <c r="D65" i="1" s="1"/>
  <c r="E59" i="2" l="1"/>
  <c r="D60" i="2" s="1"/>
  <c r="E59" i="4"/>
  <c r="D60" i="4" s="1"/>
  <c r="C42" i="4"/>
  <c r="E42" i="4"/>
  <c r="D42" i="4"/>
  <c r="C43" i="4" s="1"/>
  <c r="E60" i="3"/>
  <c r="D61" i="3" s="1"/>
  <c r="C44" i="3"/>
  <c r="E44" i="3"/>
  <c r="D44" i="3"/>
  <c r="C45" i="3" s="1"/>
  <c r="C22" i="3"/>
  <c r="F21" i="3"/>
  <c r="D21" i="3"/>
  <c r="G21" i="3" s="1"/>
  <c r="H20" i="3"/>
  <c r="E20" i="2"/>
  <c r="F20" i="2"/>
  <c r="E65" i="1"/>
  <c r="D66" i="1" s="1"/>
  <c r="E60" i="2" l="1"/>
  <c r="E60" i="4"/>
  <c r="D61" i="4" s="1"/>
  <c r="D43" i="4"/>
  <c r="E43" i="4"/>
  <c r="E61" i="3"/>
  <c r="D62" i="3" s="1"/>
  <c r="D45" i="3"/>
  <c r="E45" i="3"/>
  <c r="E21" i="3"/>
  <c r="F22" i="3"/>
  <c r="C21" i="2"/>
  <c r="H20" i="2"/>
  <c r="E66" i="1"/>
  <c r="D67" i="1" s="1"/>
  <c r="E67" i="1" l="1"/>
  <c r="D68" i="1" s="1"/>
  <c r="E61" i="4"/>
  <c r="C44" i="4"/>
  <c r="D44" i="4"/>
  <c r="E44" i="4"/>
  <c r="E62" i="3"/>
  <c r="D63" i="3" s="1"/>
  <c r="D22" i="3"/>
  <c r="H21" i="3"/>
  <c r="C22" i="2"/>
  <c r="F21" i="2"/>
  <c r="E21" i="2"/>
  <c r="E68" i="1" l="1"/>
  <c r="E63" i="3"/>
  <c r="D64" i="3"/>
  <c r="G22" i="3"/>
  <c r="D23" i="3"/>
  <c r="E22" i="3"/>
  <c r="H21" i="2"/>
  <c r="D22" i="2"/>
  <c r="E22" i="2"/>
  <c r="F22" i="2"/>
  <c r="E64" i="3" l="1"/>
  <c r="D65" i="3" s="1"/>
  <c r="E65" i="3" s="1"/>
  <c r="D24" i="3"/>
  <c r="G23" i="3"/>
  <c r="H22" i="3"/>
  <c r="C23" i="3"/>
  <c r="H22" i="2"/>
  <c r="C23" i="2"/>
  <c r="G22" i="2"/>
  <c r="D23" i="2"/>
  <c r="G23" i="2" s="1"/>
  <c r="F23" i="3" l="1"/>
  <c r="E23" i="3"/>
  <c r="D25" i="3"/>
  <c r="G24" i="3"/>
  <c r="F23" i="2"/>
  <c r="C24" i="2"/>
  <c r="E23" i="2"/>
  <c r="D26" i="3" l="1"/>
  <c r="G26" i="3" s="1"/>
  <c r="G25" i="3"/>
  <c r="H23" i="3"/>
  <c r="C24" i="3"/>
  <c r="H23" i="2"/>
  <c r="D24" i="2"/>
  <c r="G24" i="2" s="1"/>
  <c r="C25" i="2"/>
  <c r="E24" i="2"/>
  <c r="F24" i="2"/>
  <c r="F24" i="3" l="1"/>
  <c r="E24" i="3"/>
  <c r="F25" i="2"/>
  <c r="D25" i="2"/>
  <c r="H24" i="2"/>
  <c r="C25" i="3" l="1"/>
  <c r="H24" i="3"/>
  <c r="D26" i="2"/>
  <c r="G25" i="2"/>
  <c r="E25" i="2"/>
  <c r="E25" i="3" l="1"/>
  <c r="F25" i="3"/>
  <c r="H25" i="2"/>
  <c r="C26" i="2"/>
  <c r="G26" i="2"/>
  <c r="D27" i="2"/>
  <c r="G27" i="2" s="1"/>
  <c r="H25" i="3" l="1"/>
  <c r="C26" i="3"/>
  <c r="E26" i="2"/>
  <c r="F26" i="2"/>
  <c r="E26" i="3" l="1"/>
  <c r="C27" i="3"/>
  <c r="F26" i="3"/>
  <c r="H26" i="2"/>
  <c r="C27" i="2"/>
  <c r="F27" i="3" l="1"/>
  <c r="H26" i="3"/>
  <c r="D27" i="3"/>
  <c r="F27" i="2"/>
  <c r="E27" i="2"/>
  <c r="H27" i="2" s="1"/>
  <c r="G27" i="3" l="1"/>
  <c r="D28" i="3"/>
  <c r="E27" i="3"/>
  <c r="H27" i="3" l="1"/>
  <c r="C28" i="3"/>
  <c r="F28" i="3" s="1"/>
  <c r="E28" i="3"/>
  <c r="D29" i="3"/>
  <c r="G28" i="3"/>
  <c r="G29" i="3" l="1"/>
  <c r="H28" i="3"/>
  <c r="C29" i="3"/>
  <c r="F29" i="3" s="1"/>
  <c r="E29" i="3" l="1"/>
  <c r="H29" i="3" s="1"/>
</calcChain>
</file>

<file path=xl/sharedStrings.xml><?xml version="1.0" encoding="utf-8"?>
<sst xmlns="http://schemas.openxmlformats.org/spreadsheetml/2006/main" count="108" uniqueCount="21">
  <si>
    <t>RAICES DE ECUACIONES</t>
  </si>
  <si>
    <t>f(a) * f(b) &lt; 0</t>
  </si>
  <si>
    <t>entonces existe en el intervalo al menos una raiz</t>
  </si>
  <si>
    <t>tol = 0.0005</t>
  </si>
  <si>
    <t>f (c) &lt; tol , entonces c es la raiz</t>
  </si>
  <si>
    <t>x</t>
  </si>
  <si>
    <t>f(x)</t>
  </si>
  <si>
    <t>a</t>
  </si>
  <si>
    <t>b</t>
  </si>
  <si>
    <t>METODO DE LA BISECCION</t>
  </si>
  <si>
    <t>c</t>
  </si>
  <si>
    <t>f(a)</t>
  </si>
  <si>
    <t>f(b)</t>
  </si>
  <si>
    <t>f (c)</t>
  </si>
  <si>
    <t>METODO DE NEWTON</t>
  </si>
  <si>
    <t>f'(x)</t>
  </si>
  <si>
    <t>Hasta que f(x) &lt; tol</t>
  </si>
  <si>
    <t>METODO DE LA SECANTE</t>
  </si>
  <si>
    <t>#</t>
  </si>
  <si>
    <t>tol</t>
  </si>
  <si>
    <t>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</si>
</sst>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quotePrefix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2</xdr:row>
      <xdr:rowOff>144439</xdr:rowOff>
    </xdr:from>
    <xdr:to>
      <xdr:col>10</xdr:col>
      <xdr:colOff>324589</xdr:colOff>
      <xdr:row>9</xdr:row>
      <xdr:rowOff>106681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516DCF-B91B-CAE9-A439-56A321AE9C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54927"/>
        <a:stretch/>
      </xdr:blipFill>
      <xdr:spPr>
        <a:xfrm>
          <a:off x="815340" y="594019"/>
          <a:ext cx="7434049" cy="1242402"/>
        </a:xfrm>
        <a:prstGeom prst="rect">
          <a:avLst/>
        </a:prstGeom>
      </xdr:spPr>
    </xdr:pic>
    <xdr:clientData/>
  </xdr:twoCellAnchor>
  <xdr:oneCellAnchor>
    <xdr:from>
      <xdr:col>5</xdr:col>
      <xdr:colOff>15240</xdr:colOff>
      <xdr:row>10</xdr:row>
      <xdr:rowOff>133350</xdr:rowOff>
    </xdr:from>
    <xdr:ext cx="1984646" cy="28687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2995ACA-ED12-678E-8067-611DDAF4ADDF}"/>
                </a:ext>
              </a:extLst>
            </xdr:cNvPr>
            <xdr:cNvSpPr txBox="1"/>
          </xdr:nvSpPr>
          <xdr:spPr>
            <a:xfrm>
              <a:off x="3977640" y="2045970"/>
              <a:ext cx="1984646" cy="286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8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180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1800" i="0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s-MX" sz="18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1800" i="0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s-MX" sz="1800" i="0">
                            <a:latin typeface="Cambria Math" panose="02040503050406030204" pitchFamily="18" charset="0"/>
                          </a:rPr>
                          <m:t>0.8</m:t>
                        </m:r>
                        <m:r>
                          <a:rPr lang="es-MX" sz="18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MX" sz="1800" i="0">
                        <a:latin typeface="Cambria Math" panose="02040503050406030204" pitchFamily="18" charset="0"/>
                      </a:rPr>
                      <m:t>−20=0</m:t>
                    </m:r>
                  </m:oMath>
                </m:oMathPara>
              </a14:m>
              <a:endParaRPr lang="es-MX" sz="18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22995ACA-ED12-678E-8067-611DDAF4ADDF}"/>
                </a:ext>
              </a:extLst>
            </xdr:cNvPr>
            <xdr:cNvSpPr txBox="1"/>
          </xdr:nvSpPr>
          <xdr:spPr>
            <a:xfrm>
              <a:off x="3977640" y="2045970"/>
              <a:ext cx="1984646" cy="28687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800" i="0">
                  <a:latin typeface="Cambria Math" panose="02040503050406030204" pitchFamily="18" charset="0"/>
                </a:rPr>
                <a:t>𝑥</a:t>
              </a:r>
              <a:r>
                <a:rPr lang="es-MX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800" i="0">
                  <a:latin typeface="Cambria Math" panose="02040503050406030204" pitchFamily="18" charset="0"/>
                </a:rPr>
                <a:t>3−ⅇ</a:t>
              </a:r>
              <a:r>
                <a:rPr lang="es-MX" sz="18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1800" i="0">
                  <a:latin typeface="Cambria Math" panose="02040503050406030204" pitchFamily="18" charset="0"/>
                </a:rPr>
                <a:t>0.8𝑥−20=0</a:t>
              </a:r>
              <a:endParaRPr lang="es-MX" sz="1800"/>
            </a:p>
          </xdr:txBody>
        </xdr:sp>
      </mc:Fallback>
    </mc:AlternateContent>
    <xdr:clientData/>
  </xdr:oneCellAnchor>
  <xdr:twoCellAnchor editAs="oneCell">
    <xdr:from>
      <xdr:col>8</xdr:col>
      <xdr:colOff>320040</xdr:colOff>
      <xdr:row>19</xdr:row>
      <xdr:rowOff>167640</xdr:rowOff>
    </xdr:from>
    <xdr:to>
      <xdr:col>14</xdr:col>
      <xdr:colOff>191110</xdr:colOff>
      <xdr:row>35</xdr:row>
      <xdr:rowOff>89441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EB0C84C-D265-4DB7-B5B6-4EEEA2AF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9880" y="3771900"/>
          <a:ext cx="4625950" cy="2847881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</xdr:colOff>
      <xdr:row>39</xdr:row>
      <xdr:rowOff>60960</xdr:rowOff>
    </xdr:from>
    <xdr:to>
      <xdr:col>5</xdr:col>
      <xdr:colOff>265145</xdr:colOff>
      <xdr:row>42</xdr:row>
      <xdr:rowOff>83900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DB34D23-C60B-AA0A-5263-A73F4D6D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2120" y="7368540"/>
          <a:ext cx="2505425" cy="571580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533400</xdr:colOff>
      <xdr:row>37</xdr:row>
      <xdr:rowOff>76200</xdr:rowOff>
    </xdr:from>
    <xdr:to>
      <xdr:col>13</xdr:col>
      <xdr:colOff>595121</xdr:colOff>
      <xdr:row>53</xdr:row>
      <xdr:rowOff>53340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A96DB54-E595-40FD-B0C1-F1AAA1AC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80760" y="6972300"/>
          <a:ext cx="4816601" cy="2948940"/>
        </a:xfrm>
        <a:prstGeom prst="rect">
          <a:avLst/>
        </a:prstGeom>
      </xdr:spPr>
    </xdr:pic>
    <xdr:clientData/>
  </xdr:twoCellAnchor>
  <xdr:twoCellAnchor editAs="oneCell">
    <xdr:from>
      <xdr:col>7</xdr:col>
      <xdr:colOff>274320</xdr:colOff>
      <xdr:row>55</xdr:row>
      <xdr:rowOff>99060</xdr:rowOff>
    </xdr:from>
    <xdr:to>
      <xdr:col>12</xdr:col>
      <xdr:colOff>675749</xdr:colOff>
      <xdr:row>69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8BCF597-5A7A-46C6-923D-C59B33E4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21680" y="10332720"/>
          <a:ext cx="4363829" cy="2506980"/>
        </a:xfrm>
        <a:prstGeom prst="rect">
          <a:avLst/>
        </a:prstGeom>
      </xdr:spPr>
    </xdr:pic>
    <xdr:clientData/>
  </xdr:twoCellAnchor>
  <xdr:twoCellAnchor editAs="oneCell">
    <xdr:from>
      <xdr:col>10</xdr:col>
      <xdr:colOff>472440</xdr:colOff>
      <xdr:row>3</xdr:row>
      <xdr:rowOff>167934</xdr:rowOff>
    </xdr:from>
    <xdr:to>
      <xdr:col>15</xdr:col>
      <xdr:colOff>121920</xdr:colOff>
      <xdr:row>18</xdr:row>
      <xdr:rowOff>189730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40F32F-74E4-D68E-9DB3-A6303450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97240" y="800394"/>
          <a:ext cx="3611880" cy="276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2</xdr:row>
      <xdr:rowOff>167641</xdr:rowOff>
    </xdr:from>
    <xdr:to>
      <xdr:col>10</xdr:col>
      <xdr:colOff>316969</xdr:colOff>
      <xdr:row>6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9AA0BB-1E7A-4C7D-B70D-3FFA6B246B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5060" b="34483"/>
        <a:stretch/>
      </xdr:blipFill>
      <xdr:spPr>
        <a:xfrm>
          <a:off x="807720" y="617221"/>
          <a:ext cx="7434049" cy="56388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114300</xdr:colOff>
      <xdr:row>12</xdr:row>
      <xdr:rowOff>83820</xdr:rowOff>
    </xdr:from>
    <xdr:to>
      <xdr:col>13</xdr:col>
      <xdr:colOff>777850</xdr:colOff>
      <xdr:row>27</xdr:row>
      <xdr:rowOff>142781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C7D32E5-3ED5-4000-BBCE-588AD9EA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54140" y="2362200"/>
          <a:ext cx="4625950" cy="2847881"/>
        </a:xfrm>
        <a:prstGeom prst="rect">
          <a:avLst/>
        </a:prstGeom>
      </xdr:spPr>
    </xdr:pic>
    <xdr:clientData/>
  </xdr:twoCellAnchor>
  <xdr:twoCellAnchor editAs="oneCell">
    <xdr:from>
      <xdr:col>7</xdr:col>
      <xdr:colOff>601980</xdr:colOff>
      <xdr:row>30</xdr:row>
      <xdr:rowOff>129540</xdr:rowOff>
    </xdr:from>
    <xdr:to>
      <xdr:col>13</xdr:col>
      <xdr:colOff>663701</xdr:colOff>
      <xdr:row>46</xdr:row>
      <xdr:rowOff>106680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5934665-8C50-4AEC-BE3E-C8D32FF3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49340" y="5745480"/>
          <a:ext cx="4816601" cy="294894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13</xdr:col>
      <xdr:colOff>401429</xdr:colOff>
      <xdr:row>64</xdr:row>
      <xdr:rowOff>129540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361439E-D599-4655-B682-AAB86568F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39840" y="8999220"/>
          <a:ext cx="4363829" cy="2506980"/>
        </a:xfrm>
        <a:prstGeom prst="rect">
          <a:avLst/>
        </a:prstGeom>
      </xdr:spPr>
    </xdr:pic>
    <xdr:clientData/>
  </xdr:twoCellAnchor>
  <xdr:twoCellAnchor editAs="oneCell">
    <xdr:from>
      <xdr:col>14</xdr:col>
      <xdr:colOff>40386</xdr:colOff>
      <xdr:row>3</xdr:row>
      <xdr:rowOff>15240</xdr:rowOff>
    </xdr:from>
    <xdr:to>
      <xdr:col>18</xdr:col>
      <xdr:colOff>551392</xdr:colOff>
      <xdr:row>18</xdr:row>
      <xdr:rowOff>57801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5412A2C-4FE9-50E5-C35D-7DE9CF9C8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35106" y="647700"/>
          <a:ext cx="3680926" cy="2831481"/>
        </a:xfrm>
        <a:prstGeom prst="rect">
          <a:avLst/>
        </a:prstGeom>
      </xdr:spPr>
    </xdr:pic>
    <xdr:clientData/>
  </xdr:twoCellAnchor>
  <xdr:twoCellAnchor editAs="oneCell">
    <xdr:from>
      <xdr:col>2</xdr:col>
      <xdr:colOff>91440</xdr:colOff>
      <xdr:row>32</xdr:row>
      <xdr:rowOff>60960</xdr:rowOff>
    </xdr:from>
    <xdr:to>
      <xdr:col>5</xdr:col>
      <xdr:colOff>733846</xdr:colOff>
      <xdr:row>35</xdr:row>
      <xdr:rowOff>64847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68A75F4-B7F8-1D2E-7E48-CC1287B9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6400" y="6088380"/>
          <a:ext cx="3019846" cy="552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167641</xdr:rowOff>
    </xdr:from>
    <xdr:to>
      <xdr:col>10</xdr:col>
      <xdr:colOff>393169</xdr:colOff>
      <xdr:row>5</xdr:row>
      <xdr:rowOff>129541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94E4E4-7973-4CF0-BAC3-B43AC7A33A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4964" b="16514"/>
        <a:stretch/>
      </xdr:blipFill>
      <xdr:spPr>
        <a:xfrm>
          <a:off x="883920" y="617221"/>
          <a:ext cx="7434049" cy="510540"/>
        </a:xfrm>
        <a:prstGeom prst="rect">
          <a:avLst/>
        </a:prstGeom>
      </xdr:spPr>
    </xdr:pic>
    <xdr:clientData/>
  </xdr:twoCellAnchor>
  <xdr:twoCellAnchor editAs="oneCell">
    <xdr:from>
      <xdr:col>8</xdr:col>
      <xdr:colOff>220980</xdr:colOff>
      <xdr:row>14</xdr:row>
      <xdr:rowOff>53340</xdr:rowOff>
    </xdr:from>
    <xdr:to>
      <xdr:col>14</xdr:col>
      <xdr:colOff>92050</xdr:colOff>
      <xdr:row>29</xdr:row>
      <xdr:rowOff>112301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269F00-2F33-4ABD-B10C-2F9A6A655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0820" y="2697480"/>
          <a:ext cx="4625950" cy="2847881"/>
        </a:xfrm>
        <a:prstGeom prst="rect">
          <a:avLst/>
        </a:prstGeom>
      </xdr:spPr>
    </xdr:pic>
    <xdr:clientData/>
  </xdr:twoCellAnchor>
  <xdr:twoCellAnchor editAs="oneCell">
    <xdr:from>
      <xdr:col>7</xdr:col>
      <xdr:colOff>746760</xdr:colOff>
      <xdr:row>33</xdr:row>
      <xdr:rowOff>53340</xdr:rowOff>
    </xdr:from>
    <xdr:to>
      <xdr:col>14</xdr:col>
      <xdr:colOff>16001</xdr:colOff>
      <xdr:row>49</xdr:row>
      <xdr:rowOff>30480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1B4545-5ECC-47DE-A2EA-109615CE8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94120" y="6217920"/>
          <a:ext cx="4816601" cy="2948940"/>
        </a:xfrm>
        <a:prstGeom prst="rect">
          <a:avLst/>
        </a:prstGeom>
      </xdr:spPr>
    </xdr:pic>
    <xdr:clientData/>
  </xdr:twoCellAnchor>
  <xdr:twoCellAnchor editAs="oneCell">
    <xdr:from>
      <xdr:col>7</xdr:col>
      <xdr:colOff>563880</xdr:colOff>
      <xdr:row>51</xdr:row>
      <xdr:rowOff>53340</xdr:rowOff>
    </xdr:from>
    <xdr:to>
      <xdr:col>13</xdr:col>
      <xdr:colOff>172829</xdr:colOff>
      <xdr:row>64</xdr:row>
      <xdr:rowOff>137160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1FEB783-E1CC-4537-A46B-3CDF8AA7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11240" y="9555480"/>
          <a:ext cx="4363829" cy="2506980"/>
        </a:xfrm>
        <a:prstGeom prst="rect">
          <a:avLst/>
        </a:prstGeom>
      </xdr:spPr>
    </xdr:pic>
    <xdr:clientData/>
  </xdr:twoCellAnchor>
  <xdr:twoCellAnchor editAs="oneCell">
    <xdr:from>
      <xdr:col>14</xdr:col>
      <xdr:colOff>731520</xdr:colOff>
      <xdr:row>3</xdr:row>
      <xdr:rowOff>7301</xdr:rowOff>
    </xdr:from>
    <xdr:to>
      <xdr:col>19</xdr:col>
      <xdr:colOff>708660</xdr:colOff>
      <xdr:row>19</xdr:row>
      <xdr:rowOff>135364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59FDFBA-89EC-97B6-0443-65CDBF36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26240" y="639761"/>
          <a:ext cx="3939540" cy="3099863"/>
        </a:xfrm>
        <a:prstGeom prst="rect">
          <a:avLst/>
        </a:prstGeom>
      </xdr:spPr>
    </xdr:pic>
    <xdr:clientData/>
  </xdr:twoCellAnchor>
  <xdr:oneCellAnchor>
    <xdr:from>
      <xdr:col>5</xdr:col>
      <xdr:colOff>609600</xdr:colOff>
      <xdr:row>6</xdr:row>
      <xdr:rowOff>102870</xdr:rowOff>
    </xdr:from>
    <xdr:ext cx="2584875" cy="3231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76DE45D-3972-AE20-9A4A-9B7FBF94AFF9}"/>
                </a:ext>
              </a:extLst>
            </xdr:cNvPr>
            <xdr:cNvSpPr txBox="1"/>
          </xdr:nvSpPr>
          <xdr:spPr>
            <a:xfrm>
              <a:off x="4572000" y="1283970"/>
              <a:ext cx="2584875" cy="323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MX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2000" i="0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s-MX" sz="2000" i="0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s-MX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s-MX" sz="200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sSup>
                      <m:sSupPr>
                        <m:ctrlPr>
                          <a:rPr lang="es-MX" sz="20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MX" sz="2000" i="0">
                            <a:latin typeface="Cambria Math" panose="02040503050406030204" pitchFamily="18" charset="0"/>
                          </a:rPr>
                          <m:t>ⅇ</m:t>
                        </m:r>
                      </m:e>
                      <m:sup>
                        <m:r>
                          <a:rPr lang="es-MX" sz="2000" i="0">
                            <a:latin typeface="Cambria Math" panose="02040503050406030204" pitchFamily="18" charset="0"/>
                          </a:rPr>
                          <m:t>−0.5</m:t>
                        </m:r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𝑥</m:t>
                        </m:r>
                      </m:sup>
                    </m:sSup>
                    <m:r>
                      <a:rPr lang="es-MX" sz="2000" i="0">
                        <a:latin typeface="Cambria Math" panose="02040503050406030204" pitchFamily="18" charset="0"/>
                      </a:rPr>
                      <m:t>−3</m:t>
                    </m:r>
                    <m:r>
                      <a:rPr lang="es-MX" sz="20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2000" i="0">
                        <a:latin typeface="Cambria Math" panose="02040503050406030204" pitchFamily="18" charset="0"/>
                      </a:rPr>
                      <m:t>+1</m:t>
                    </m:r>
                  </m:oMath>
                </m:oMathPara>
              </a14:m>
              <a:endParaRPr lang="es-MX" sz="20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76DE45D-3972-AE20-9A4A-9B7FBF94AFF9}"/>
                </a:ext>
              </a:extLst>
            </xdr:cNvPr>
            <xdr:cNvSpPr txBox="1"/>
          </xdr:nvSpPr>
          <xdr:spPr>
            <a:xfrm>
              <a:off x="4572000" y="1283970"/>
              <a:ext cx="2584875" cy="3231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2000" i="0">
                  <a:latin typeface="Cambria Math" panose="02040503050406030204" pitchFamily="18" charset="0"/>
                </a:rPr>
                <a:t>𝑥</a:t>
              </a:r>
              <a:r>
                <a:rPr lang="es-MX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2000" i="0">
                  <a:latin typeface="Cambria Math" panose="02040503050406030204" pitchFamily="18" charset="0"/>
                </a:rPr>
                <a:t>3−𝑥</a:t>
              </a:r>
              <a:r>
                <a:rPr lang="es-MX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</a:t>
              </a:r>
              <a:r>
                <a:rPr lang="es-MX" sz="2000" i="0">
                  <a:latin typeface="Cambria Math" panose="02040503050406030204" pitchFamily="18" charset="0"/>
                </a:rPr>
                <a:t>2</a:t>
              </a:r>
              <a:r>
                <a:rPr lang="es-MX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 </a:t>
              </a:r>
              <a:r>
                <a:rPr lang="es-MX" sz="2000" i="0">
                  <a:latin typeface="Cambria Math" panose="02040503050406030204" pitchFamily="18" charset="0"/>
                </a:rPr>
                <a:t>ⅇ</a:t>
              </a:r>
              <a:r>
                <a:rPr lang="es-MX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^(</a:t>
              </a:r>
              <a:r>
                <a:rPr lang="es-MX" sz="2000" i="0">
                  <a:latin typeface="Cambria Math" panose="02040503050406030204" pitchFamily="18" charset="0"/>
                </a:rPr>
                <a:t>−0.5𝑥</a:t>
              </a:r>
              <a:r>
                <a:rPr lang="es-MX" sz="20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r>
                <a:rPr lang="es-MX" sz="2000" i="0">
                  <a:latin typeface="Cambria Math" panose="02040503050406030204" pitchFamily="18" charset="0"/>
                </a:rPr>
                <a:t>−3𝑥+1</a:t>
              </a:r>
              <a:endParaRPr lang="es-MX" sz="2000"/>
            </a:p>
          </xdr:txBody>
        </xdr:sp>
      </mc:Fallback>
    </mc:AlternateContent>
    <xdr:clientData/>
  </xdr:oneCellAnchor>
  <xdr:twoCellAnchor editAs="oneCell">
    <xdr:from>
      <xdr:col>2</xdr:col>
      <xdr:colOff>304801</xdr:colOff>
      <xdr:row>34</xdr:row>
      <xdr:rowOff>91440</xdr:rowOff>
    </xdr:from>
    <xdr:to>
      <xdr:col>6</xdr:col>
      <xdr:colOff>762001</xdr:colOff>
      <xdr:row>37</xdr:row>
      <xdr:rowOff>76960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A456F8B-1076-C40B-3A35-5AA5B9C98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89761" y="6484620"/>
          <a:ext cx="3627120" cy="5341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678180</xdr:colOff>
      <xdr:row>2</xdr:row>
      <xdr:rowOff>137160</xdr:rowOff>
    </xdr:from>
    <xdr:to>
      <xdr:col>10</xdr:col>
      <xdr:colOff>187429</xdr:colOff>
      <xdr:row>5</xdr:row>
      <xdr:rowOff>81825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9D5BC0-CC57-4C39-9397-3270ADB3F5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2104"/>
        <a:stretch/>
      </xdr:blipFill>
      <xdr:spPr>
        <a:xfrm>
          <a:off x="678180" y="3147060"/>
          <a:ext cx="7434049" cy="493305"/>
        </a:xfrm>
        <a:prstGeom prst="rect">
          <a:avLst/>
        </a:prstGeom>
      </xdr:spPr>
    </xdr:pic>
    <xdr:clientData/>
  </xdr:twoCellAnchor>
  <xdr:twoCellAnchor editAs="oneCell">
    <xdr:from>
      <xdr:col>8</xdr:col>
      <xdr:colOff>312420</xdr:colOff>
      <xdr:row>13</xdr:row>
      <xdr:rowOff>30480</xdr:rowOff>
    </xdr:from>
    <xdr:to>
      <xdr:col>14</xdr:col>
      <xdr:colOff>183490</xdr:colOff>
      <xdr:row>28</xdr:row>
      <xdr:rowOff>89441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9BB7476-89C8-4C11-8E1D-8A318B843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52260" y="2491740"/>
          <a:ext cx="4625950" cy="2847881"/>
        </a:xfrm>
        <a:prstGeom prst="rect">
          <a:avLst/>
        </a:prstGeom>
      </xdr:spPr>
    </xdr:pic>
    <xdr:clientData/>
  </xdr:twoCellAnchor>
  <xdr:twoCellAnchor editAs="oneCell">
    <xdr:from>
      <xdr:col>8</xdr:col>
      <xdr:colOff>182880</xdr:colOff>
      <xdr:row>31</xdr:row>
      <xdr:rowOff>76200</xdr:rowOff>
    </xdr:from>
    <xdr:to>
      <xdr:col>14</xdr:col>
      <xdr:colOff>244601</xdr:colOff>
      <xdr:row>47</xdr:row>
      <xdr:rowOff>53340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EB0DBDF-430F-4EA5-BF47-A3D79C141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22720" y="5875020"/>
          <a:ext cx="4816601" cy="2948940"/>
        </a:xfrm>
        <a:prstGeom prst="rect">
          <a:avLst/>
        </a:prstGeom>
      </xdr:spPr>
    </xdr:pic>
    <xdr:clientData/>
  </xdr:twoCellAnchor>
  <xdr:twoCellAnchor editAs="oneCell">
    <xdr:from>
      <xdr:col>7</xdr:col>
      <xdr:colOff>472440</xdr:colOff>
      <xdr:row>49</xdr:row>
      <xdr:rowOff>160020</xdr:rowOff>
    </xdr:from>
    <xdr:to>
      <xdr:col>13</xdr:col>
      <xdr:colOff>81389</xdr:colOff>
      <xdr:row>63</xdr:row>
      <xdr:rowOff>60960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E740D72-AC7D-4887-ABCB-1BE7EA2FE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9800" y="9296400"/>
          <a:ext cx="4363829" cy="2506980"/>
        </a:xfrm>
        <a:prstGeom prst="rect">
          <a:avLst/>
        </a:prstGeom>
      </xdr:spPr>
    </xdr:pic>
    <xdr:clientData/>
  </xdr:twoCellAnchor>
  <xdr:twoCellAnchor editAs="oneCell">
    <xdr:from>
      <xdr:col>14</xdr:col>
      <xdr:colOff>617220</xdr:colOff>
      <xdr:row>3</xdr:row>
      <xdr:rowOff>45622</xdr:rowOff>
    </xdr:from>
    <xdr:to>
      <xdr:col>19</xdr:col>
      <xdr:colOff>663764</xdr:colOff>
      <xdr:row>20</xdr:row>
      <xdr:rowOff>46369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7F5C3D5-C545-6470-C425-26FC9F78D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11940" y="678082"/>
          <a:ext cx="4008944" cy="3155427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205741</xdr:colOff>
      <xdr:row>33</xdr:row>
      <xdr:rowOff>91440</xdr:rowOff>
    </xdr:from>
    <xdr:to>
      <xdr:col>7</xdr:col>
      <xdr:colOff>571501</xdr:colOff>
      <xdr:row>36</xdr:row>
      <xdr:rowOff>63481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F0F8C30-3236-2336-04E7-9E25982E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90701" y="6301740"/>
          <a:ext cx="4328160" cy="5206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0087-BFEB-4862-8308-BAF2EC1E7C66}">
  <dimension ref="A1:AI70"/>
  <sheetViews>
    <sheetView topLeftCell="A25" zoomScale="89" zoomScaleNormal="89" workbookViewId="0">
      <selection activeCell="C63" sqref="C63"/>
    </sheetView>
  </sheetViews>
  <sheetFormatPr baseColWidth="10" defaultRowHeight="14.4" x14ac:dyDescent="0.3"/>
  <sheetData>
    <row r="1" spans="1:3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21" x14ac:dyDescent="0.4">
      <c r="A2" s="1"/>
      <c r="B2" s="5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3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3"/>
      <c r="M4" s="3"/>
      <c r="O4" s="1" t="s">
        <v>20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3">
      <c r="A12" s="1"/>
      <c r="B12" s="1"/>
      <c r="C12" s="6" t="s">
        <v>5</v>
      </c>
      <c r="D12" s="6" t="s">
        <v>6</v>
      </c>
      <c r="E12" s="1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3">
      <c r="A13" s="1"/>
      <c r="B13" s="7" t="s">
        <v>7</v>
      </c>
      <c r="C13" s="8">
        <v>3</v>
      </c>
      <c r="D13" s="8">
        <f>+C13^(3)-EXP(0.8*C13)-20</f>
        <v>-4.0231763806416048</v>
      </c>
      <c r="E13" s="1"/>
      <c r="F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3">
      <c r="A14" s="1"/>
      <c r="B14" s="7" t="s">
        <v>8</v>
      </c>
      <c r="C14" s="8">
        <v>3.5</v>
      </c>
      <c r="D14" s="8">
        <f>+C14^(3)-EXP(0.8*C14)-20</f>
        <v>6.4303532289029448</v>
      </c>
      <c r="E14" s="1"/>
      <c r="F14" s="1"/>
      <c r="G14" s="3" t="s">
        <v>1</v>
      </c>
      <c r="H14" s="3" t="s">
        <v>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3">
      <c r="A15" s="1"/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3">
      <c r="A16" s="1"/>
      <c r="B16" s="13"/>
      <c r="C16" s="14"/>
      <c r="D16" s="14"/>
      <c r="E16" s="14"/>
      <c r="F16" s="1"/>
      <c r="G16" s="1" t="s">
        <v>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3">
      <c r="A17" s="1"/>
      <c r="B17" s="13"/>
      <c r="C17" s="14"/>
      <c r="D17" s="14"/>
      <c r="E17" s="14"/>
      <c r="F17" s="1"/>
      <c r="G17" s="3" t="s">
        <v>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3">
      <c r="A18" s="1"/>
      <c r="B18" s="13"/>
      <c r="C18" s="14"/>
      <c r="D18" s="14"/>
      <c r="E18" s="1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ht="18" x14ac:dyDescent="0.35">
      <c r="A19" s="1"/>
      <c r="B19" s="7"/>
      <c r="C19" s="4" t="s">
        <v>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3">
      <c r="A20" s="1"/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3">
      <c r="A21" s="1"/>
      <c r="B21" s="7"/>
      <c r="C21" s="9" t="s">
        <v>7</v>
      </c>
      <c r="D21" s="9" t="s">
        <v>8</v>
      </c>
      <c r="E21" s="9" t="s">
        <v>10</v>
      </c>
      <c r="F21" s="9" t="s">
        <v>11</v>
      </c>
      <c r="G21" s="9" t="s">
        <v>12</v>
      </c>
      <c r="H21" s="10" t="s">
        <v>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3">
      <c r="A22" s="1"/>
      <c r="B22" s="7"/>
      <c r="C22" s="8">
        <v>3</v>
      </c>
      <c r="D22" s="8">
        <v>3.5</v>
      </c>
      <c r="E22" s="8">
        <f>+(C22+D22)/2</f>
        <v>3.25</v>
      </c>
      <c r="F22" s="8">
        <f t="shared" ref="F22:F35" si="0">+C22^(3)-EXP(0.8*C22)-20</f>
        <v>-4.0231763806416048</v>
      </c>
      <c r="G22" s="8">
        <f t="shared" ref="G22:H22" si="1">+D22^(3)-EXP(0.8*D22)-20</f>
        <v>6.4303532289029448</v>
      </c>
      <c r="H22" s="8">
        <f t="shared" si="1"/>
        <v>0.86438696499831025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3">
      <c r="A23" s="1"/>
      <c r="B23" s="7"/>
      <c r="C23" s="8">
        <f>+C22</f>
        <v>3</v>
      </c>
      <c r="D23" s="8">
        <f>+E22</f>
        <v>3.25</v>
      </c>
      <c r="E23" s="8">
        <f t="shared" ref="E23:E35" si="2">+(C23+D23)/2</f>
        <v>3.125</v>
      </c>
      <c r="F23" s="8">
        <f t="shared" si="0"/>
        <v>-4.0231763806416048</v>
      </c>
      <c r="G23" s="8">
        <f t="shared" ref="G23" si="3">+D23^(3)-EXP(0.8*D23)-20</f>
        <v>0.86438696499831025</v>
      </c>
      <c r="H23" s="8">
        <f t="shared" ref="H23" si="4">+E23^(3)-EXP(0.8*E23)-20</f>
        <v>-1.664915835703475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3">
      <c r="A24" s="1"/>
      <c r="B24" s="7"/>
      <c r="C24" s="8">
        <f>+E23</f>
        <v>3.125</v>
      </c>
      <c r="D24" s="8">
        <f>+D23</f>
        <v>3.25</v>
      </c>
      <c r="E24" s="8">
        <f t="shared" si="2"/>
        <v>3.1875</v>
      </c>
      <c r="F24" s="8">
        <f t="shared" si="0"/>
        <v>-1.664915835703475</v>
      </c>
      <c r="G24" s="8">
        <f t="shared" ref="G24" si="5">+D24^(3)-EXP(0.8*D24)-20</f>
        <v>0.86438696499831025</v>
      </c>
      <c r="H24" s="8">
        <f t="shared" ref="H24" si="6">+E24^(3)-EXP(0.8*E24)-20</f>
        <v>-0.42160573578803451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3">
      <c r="A25" s="1"/>
      <c r="B25" s="7"/>
      <c r="C25" s="8">
        <f>+E24</f>
        <v>3.1875</v>
      </c>
      <c r="D25" s="8">
        <f>+D24</f>
        <v>3.25</v>
      </c>
      <c r="E25" s="8">
        <f t="shared" si="2"/>
        <v>3.21875</v>
      </c>
      <c r="F25" s="8">
        <f t="shared" si="0"/>
        <v>-0.42160573578803451</v>
      </c>
      <c r="G25" s="8">
        <f t="shared" ref="G25" si="7">+D25^(3)-EXP(0.8*D25)-20</f>
        <v>0.86438696499831025</v>
      </c>
      <c r="H25" s="8">
        <f t="shared" ref="H25" si="8">+E25^(3)-EXP(0.8*E25)-20</f>
        <v>0.21606443330685821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3">
      <c r="A26" s="1"/>
      <c r="B26" s="7"/>
      <c r="C26" s="8">
        <f>+C25</f>
        <v>3.1875</v>
      </c>
      <c r="D26" s="8">
        <f>+E25</f>
        <v>3.21875</v>
      </c>
      <c r="E26" s="8">
        <f t="shared" si="2"/>
        <v>3.203125</v>
      </c>
      <c r="F26" s="8">
        <f t="shared" si="0"/>
        <v>-0.42160573578803451</v>
      </c>
      <c r="G26" s="8">
        <f t="shared" ref="G26" si="9">+D26^(3)-EXP(0.8*D26)-20</f>
        <v>0.21606443330685821</v>
      </c>
      <c r="H26" s="8">
        <f t="shared" ref="H26" si="10">+E26^(3)-EXP(0.8*E26)-20</f>
        <v>-0.10410353645155368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3">
      <c r="A27" s="1"/>
      <c r="B27" s="7"/>
      <c r="C27" s="8">
        <f>+E26</f>
        <v>3.203125</v>
      </c>
      <c r="D27" s="8">
        <f>+D26</f>
        <v>3.21875</v>
      </c>
      <c r="E27" s="8">
        <f t="shared" si="2"/>
        <v>3.2109375</v>
      </c>
      <c r="F27" s="8">
        <f t="shared" si="0"/>
        <v>-0.10410353645155368</v>
      </c>
      <c r="G27" s="8">
        <f t="shared" ref="G27" si="11">+D27^(3)-EXP(0.8*D27)-20</f>
        <v>0.21606443330685821</v>
      </c>
      <c r="H27" s="8">
        <f t="shared" ref="H27" si="12">+E27^(3)-EXP(0.8*E27)-20</f>
        <v>5.5647382134296208E-2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3">
      <c r="A28" s="1"/>
      <c r="B28" s="7"/>
      <c r="C28" s="8">
        <f>+C27</f>
        <v>3.203125</v>
      </c>
      <c r="D28" s="8">
        <f>+E27</f>
        <v>3.2109375</v>
      </c>
      <c r="E28" s="8">
        <f t="shared" si="2"/>
        <v>3.20703125</v>
      </c>
      <c r="F28" s="8">
        <f t="shared" si="0"/>
        <v>-0.10410353645155368</v>
      </c>
      <c r="G28" s="8">
        <f t="shared" ref="G28" si="13">+D28^(3)-EXP(0.8*D28)-20</f>
        <v>5.5647382134296208E-2</v>
      </c>
      <c r="H28" s="8">
        <f t="shared" ref="H28" si="14">+E28^(3)-EXP(0.8*E28)-20</f>
        <v>-2.4311363882567605E-2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3">
      <c r="A29" s="1"/>
      <c r="B29" s="7"/>
      <c r="C29" s="8">
        <f>+E28</f>
        <v>3.20703125</v>
      </c>
      <c r="D29" s="8">
        <f>+D28</f>
        <v>3.2109375</v>
      </c>
      <c r="E29" s="8">
        <f t="shared" si="2"/>
        <v>3.208984375</v>
      </c>
      <c r="F29" s="8">
        <f t="shared" si="0"/>
        <v>-2.4311363882567605E-2</v>
      </c>
      <c r="G29" s="8">
        <f t="shared" ref="G29" si="15">+D29^(3)-EXP(0.8*D29)-20</f>
        <v>5.5647382134296208E-2</v>
      </c>
      <c r="H29" s="8">
        <f t="shared" ref="H29" si="16">+E29^(3)-EXP(0.8*E29)-20</f>
        <v>1.5647189915139137E-2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3">
      <c r="A30" s="1"/>
      <c r="B30" s="7"/>
      <c r="C30" s="8">
        <f>+C29</f>
        <v>3.20703125</v>
      </c>
      <c r="D30" s="8">
        <f>+E29</f>
        <v>3.208984375</v>
      </c>
      <c r="E30" s="8">
        <f t="shared" si="2"/>
        <v>3.2080078125</v>
      </c>
      <c r="F30" s="8">
        <f t="shared" si="0"/>
        <v>-2.4311363882567605E-2</v>
      </c>
      <c r="G30" s="8">
        <f t="shared" ref="G30" si="17">+D30^(3)-EXP(0.8*D30)-20</f>
        <v>1.5647189915139137E-2</v>
      </c>
      <c r="H30" s="8">
        <f t="shared" ref="H30" si="18">+E30^(3)-EXP(0.8*E30)-20</f>
        <v>-4.3372920982065466E-3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3">
      <c r="A31" s="1"/>
      <c r="B31" s="7"/>
      <c r="C31" s="8">
        <f>+E30</f>
        <v>3.2080078125</v>
      </c>
      <c r="D31" s="8">
        <f>+D30</f>
        <v>3.208984375</v>
      </c>
      <c r="E31" s="8">
        <f t="shared" si="2"/>
        <v>3.20849609375</v>
      </c>
      <c r="F31" s="8">
        <f t="shared" si="0"/>
        <v>-4.3372920982065466E-3</v>
      </c>
      <c r="G31" s="8">
        <f t="shared" ref="G31" si="19">+D31^(3)-EXP(0.8*D31)-20</f>
        <v>1.5647189915139137E-2</v>
      </c>
      <c r="H31" s="8">
        <f t="shared" ref="H31" si="20">+E31^(3)-EXP(0.8*E31)-20</f>
        <v>5.6536476686304127E-3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3">
      <c r="A32" s="1"/>
      <c r="B32" s="7"/>
      <c r="C32" s="8">
        <f>+C31</f>
        <v>3.2080078125</v>
      </c>
      <c r="D32" s="8">
        <f>+E31</f>
        <v>3.20849609375</v>
      </c>
      <c r="E32" s="8">
        <f t="shared" si="2"/>
        <v>3.208251953125</v>
      </c>
      <c r="F32" s="8">
        <f t="shared" si="0"/>
        <v>-4.3372920982065466E-3</v>
      </c>
      <c r="G32" s="8">
        <f t="shared" ref="G32" si="21">+D32^(3)-EXP(0.8*D32)-20</f>
        <v>5.6536476686304127E-3</v>
      </c>
      <c r="H32" s="8">
        <f t="shared" ref="H32" si="22">+E32^(3)-EXP(0.8*E32)-20</f>
        <v>6.5785247038974148E-4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3">
      <c r="A33" s="1"/>
      <c r="B33" s="1"/>
      <c r="C33" s="8">
        <f>+C32</f>
        <v>3.2080078125</v>
      </c>
      <c r="D33" s="8">
        <f>+E32</f>
        <v>3.208251953125</v>
      </c>
      <c r="E33" s="8">
        <f t="shared" si="2"/>
        <v>3.2081298828125</v>
      </c>
      <c r="F33" s="8">
        <f t="shared" si="0"/>
        <v>-4.3372920982065466E-3</v>
      </c>
      <c r="G33" s="8">
        <f t="shared" ref="G33" si="23">+D33^(3)-EXP(0.8*D33)-20</f>
        <v>6.5785247038974148E-4</v>
      </c>
      <c r="H33" s="8">
        <f t="shared" ref="H33" si="24">+E33^(3)-EXP(0.8*E33)-20</f>
        <v>-1.8398011432196881E-3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3">
      <c r="A34" s="1"/>
      <c r="B34" s="1"/>
      <c r="C34" s="8">
        <f>+E33</f>
        <v>3.2081298828125</v>
      </c>
      <c r="D34" s="8">
        <f>+D33</f>
        <v>3.208251953125</v>
      </c>
      <c r="E34" s="8">
        <f t="shared" si="2"/>
        <v>3.20819091796875</v>
      </c>
      <c r="F34" s="8">
        <f t="shared" si="0"/>
        <v>-1.8398011432196881E-3</v>
      </c>
      <c r="G34" s="8">
        <f t="shared" ref="G34" si="25">+D34^(3)-EXP(0.8*D34)-20</f>
        <v>6.5785247038974148E-4</v>
      </c>
      <c r="H34" s="8">
        <f t="shared" ref="H34" si="26">+E34^(3)-EXP(0.8*E34)-20</f>
        <v>-5.9099466866285866E-4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3">
      <c r="A35" s="1"/>
      <c r="B35" s="1"/>
      <c r="C35" s="8">
        <f>+E34</f>
        <v>3.20819091796875</v>
      </c>
      <c r="D35" s="8">
        <f>+D34</f>
        <v>3.208251953125</v>
      </c>
      <c r="E35" s="18">
        <f t="shared" si="2"/>
        <v>3.208221435546875</v>
      </c>
      <c r="F35" s="8">
        <f t="shared" si="0"/>
        <v>-5.9099466866285866E-4</v>
      </c>
      <c r="G35" s="8">
        <f t="shared" ref="G35" si="27">+D35^(3)-EXP(0.8*D35)-20</f>
        <v>6.5785247038974148E-4</v>
      </c>
      <c r="H35" s="17">
        <f t="shared" ref="H35" si="28">+E35^(3)-EXP(0.8*E35)-20</f>
        <v>3.3423817811240042E-5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3">
      <c r="A36" s="1"/>
      <c r="B36" s="14"/>
      <c r="C36" s="16"/>
      <c r="D36" s="16"/>
      <c r="E36" s="16"/>
      <c r="F36" s="16"/>
      <c r="G36" s="16"/>
      <c r="H36" s="16"/>
      <c r="I36" s="1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3">
      <c r="A37" s="1"/>
      <c r="B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:35" x14ac:dyDescent="0.3">
      <c r="A38" s="1"/>
      <c r="B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5" ht="18" x14ac:dyDescent="0.35">
      <c r="A39" s="1"/>
      <c r="B39" s="1"/>
      <c r="C39" s="4" t="s">
        <v>14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5" x14ac:dyDescent="0.3">
      <c r="A40" s="1"/>
      <c r="B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:3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5" x14ac:dyDescent="0.3">
      <c r="A44" s="1"/>
      <c r="B44" s="1"/>
      <c r="C44" s="11" t="s">
        <v>5</v>
      </c>
      <c r="D44" s="11" t="s">
        <v>6</v>
      </c>
      <c r="E44" s="11" t="s">
        <v>15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5" x14ac:dyDescent="0.3">
      <c r="A45" s="1"/>
      <c r="B45" s="1"/>
      <c r="C45" s="8">
        <v>4</v>
      </c>
      <c r="D45" s="8">
        <f t="shared" ref="D45:D50" si="29">+C45^(3)-EXP(0.8*C45)-20</f>
        <v>19.467469802890648</v>
      </c>
      <c r="E45" s="8">
        <f t="shared" ref="E45:E50" si="30">3*C45^(2)-0.8*EXP(0.8*C45)</f>
        <v>28.373975842312518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5" x14ac:dyDescent="0.3">
      <c r="A46" s="1"/>
      <c r="B46" s="1"/>
      <c r="C46" s="8">
        <f>+C45-(D45/E45)</f>
        <v>3.3138970050908445</v>
      </c>
      <c r="D46" s="8">
        <f t="shared" si="29"/>
        <v>2.2230636956544387</v>
      </c>
      <c r="E46" s="8">
        <f t="shared" si="30"/>
        <v>21.609847201548774</v>
      </c>
      <c r="F46" s="1"/>
      <c r="G46" s="3" t="s">
        <v>16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5" x14ac:dyDescent="0.3">
      <c r="A47" s="1"/>
      <c r="B47" s="1"/>
      <c r="C47" s="8">
        <f>+C46-(D46/E46)</f>
        <v>3.211024288087315</v>
      </c>
      <c r="D47" s="8">
        <f t="shared" si="29"/>
        <v>5.7425776844361565E-2</v>
      </c>
      <c r="E47" s="8">
        <f t="shared" si="30"/>
        <v>20.49170419338698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5" x14ac:dyDescent="0.3">
      <c r="A48" s="1"/>
      <c r="B48" s="1"/>
      <c r="C48" s="8">
        <f>+C47-(D47/E47)</f>
        <v>3.2082218966267311</v>
      </c>
      <c r="D48" s="8">
        <f t="shared" si="29"/>
        <v>4.2858025327774385E-5</v>
      </c>
      <c r="E48" s="8">
        <f t="shared" si="30"/>
        <v>20.461116559463743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x14ac:dyDescent="0.3">
      <c r="A49" s="1"/>
      <c r="B49" s="1"/>
      <c r="C49" s="8">
        <f>+C48-(D48/E48)</f>
        <v>3.2082198020183941</v>
      </c>
      <c r="D49" s="8">
        <f t="shared" si="29"/>
        <v>2.3938184767757775E-11</v>
      </c>
      <c r="E49" s="8">
        <f t="shared" si="30"/>
        <v>20.461093695190936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x14ac:dyDescent="0.3">
      <c r="A50" s="1"/>
      <c r="B50" s="1"/>
      <c r="C50" s="18">
        <f>+C49-(D49/E49)</f>
        <v>3.2082198020172243</v>
      </c>
      <c r="D50" s="17">
        <f t="shared" si="29"/>
        <v>0</v>
      </c>
      <c r="E50" s="8">
        <f t="shared" si="30"/>
        <v>20.461093695178164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x14ac:dyDescent="0.3">
      <c r="A52" s="1"/>
      <c r="B52" s="1"/>
      <c r="C52" s="1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x14ac:dyDescent="0.3">
      <c r="A54" s="1"/>
      <c r="B54" s="1"/>
      <c r="C54" s="1"/>
      <c r="D54" s="1"/>
      <c r="E54" s="1"/>
      <c r="F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8" x14ac:dyDescent="0.35">
      <c r="A57" s="1"/>
      <c r="B57" s="1"/>
      <c r="C57" s="4" t="s">
        <v>17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x14ac:dyDescent="0.3">
      <c r="A59" s="1"/>
      <c r="B59" s="1"/>
      <c r="C59" s="19" t="s">
        <v>18</v>
      </c>
      <c r="D59" s="19" t="s">
        <v>5</v>
      </c>
      <c r="E59" s="19" t="s">
        <v>6</v>
      </c>
      <c r="F59" s="19" t="s">
        <v>19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x14ac:dyDescent="0.3">
      <c r="A60" s="1"/>
      <c r="B60" s="1"/>
      <c r="C60" s="8">
        <v>0</v>
      </c>
      <c r="D60" s="8">
        <v>5</v>
      </c>
      <c r="E60" s="8">
        <f t="shared" ref="E60:E68" si="31">+D60^(3)-EXP(0.8*D60)-20</f>
        <v>50.401849966855764</v>
      </c>
      <c r="F60" s="8">
        <v>5.0000000000000001E-4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x14ac:dyDescent="0.3">
      <c r="A61" s="1"/>
      <c r="B61" s="1"/>
      <c r="C61" s="8">
        <v>1</v>
      </c>
      <c r="D61" s="8">
        <v>6</v>
      </c>
      <c r="E61" s="8">
        <f t="shared" si="31"/>
        <v>74.489582481265032</v>
      </c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x14ac:dyDescent="0.3">
      <c r="A62" s="1"/>
      <c r="B62" s="1"/>
      <c r="C62" s="8">
        <v>2</v>
      </c>
      <c r="D62" s="8">
        <f t="shared" ref="D62:D68" si="32">+D61-E61*((D61-D60)/(E61-E60))</f>
        <v>2.9075718340568</v>
      </c>
      <c r="E62" s="8">
        <f t="shared" si="31"/>
        <v>-5.6569635833491656</v>
      </c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x14ac:dyDescent="0.3">
      <c r="A63" s="1"/>
      <c r="B63" s="1"/>
      <c r="C63" s="8">
        <v>3</v>
      </c>
      <c r="D63" s="8">
        <f t="shared" si="32"/>
        <v>3.1258439166086851</v>
      </c>
      <c r="E63" s="8">
        <f t="shared" si="31"/>
        <v>-1.6484126231133658</v>
      </c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x14ac:dyDescent="0.3">
      <c r="A64" s="1"/>
      <c r="B64" s="1"/>
      <c r="C64" s="8">
        <v>4</v>
      </c>
      <c r="D64" s="8">
        <f t="shared" si="32"/>
        <v>3.2156026498070291</v>
      </c>
      <c r="E64" s="8">
        <f t="shared" si="31"/>
        <v>0.15135858501763977</v>
      </c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x14ac:dyDescent="0.3">
      <c r="A65" s="1"/>
      <c r="B65" s="1"/>
      <c r="C65" s="8">
        <v>5</v>
      </c>
      <c r="D65" s="8">
        <f t="shared" si="32"/>
        <v>3.2080540487467948</v>
      </c>
      <c r="E65" s="8">
        <f t="shared" si="31"/>
        <v>-3.3913432452195025E-3</v>
      </c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x14ac:dyDescent="0.3">
      <c r="A66" s="1"/>
      <c r="B66" s="1"/>
      <c r="C66" s="8">
        <v>6</v>
      </c>
      <c r="D66" s="8">
        <f t="shared" si="32"/>
        <v>3.2082194762691456</v>
      </c>
      <c r="E66" s="8">
        <f t="shared" si="31"/>
        <v>-6.6651613686019573E-6</v>
      </c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x14ac:dyDescent="0.3">
      <c r="A67" s="1"/>
      <c r="B67" s="1"/>
      <c r="C67" s="8">
        <v>7</v>
      </c>
      <c r="D67" s="21">
        <f t="shared" si="32"/>
        <v>3.208219802031627</v>
      </c>
      <c r="E67" s="21">
        <f t="shared" si="31"/>
        <v>2.9470470508385915E-10</v>
      </c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x14ac:dyDescent="0.3">
      <c r="C68" s="8">
        <v>8</v>
      </c>
      <c r="D68" s="18">
        <f t="shared" si="32"/>
        <v>3.2082198020172239</v>
      </c>
      <c r="E68" s="17">
        <f t="shared" si="31"/>
        <v>0</v>
      </c>
      <c r="F68" s="8"/>
      <c r="G68" s="16"/>
    </row>
    <row r="69" spans="1:35" x14ac:dyDescent="0.3">
      <c r="B69" s="16"/>
      <c r="C69" s="14"/>
      <c r="D69" s="20"/>
      <c r="E69" s="20"/>
      <c r="F69" s="14"/>
      <c r="G69" s="16"/>
    </row>
    <row r="70" spans="1:35" x14ac:dyDescent="0.3">
      <c r="C70" s="14"/>
      <c r="D70" s="20"/>
      <c r="E70" s="20"/>
      <c r="F70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EB2B-2404-491C-8409-AB76EC088FDA}">
  <dimension ref="B2:Q62"/>
  <sheetViews>
    <sheetView topLeftCell="A37" workbookViewId="0">
      <selection activeCell="D60" sqref="D60"/>
    </sheetView>
  </sheetViews>
  <sheetFormatPr baseColWidth="10" defaultRowHeight="14.4" x14ac:dyDescent="0.3"/>
  <sheetData>
    <row r="2" spans="2:17" ht="21" x14ac:dyDescent="0.4">
      <c r="B2" s="5" t="s">
        <v>0</v>
      </c>
    </row>
    <row r="3" spans="2:17" x14ac:dyDescent="0.3">
      <c r="Q3" t="s">
        <v>20</v>
      </c>
    </row>
    <row r="4" spans="2:17" x14ac:dyDescent="0.3">
      <c r="L4" s="3"/>
      <c r="M4" s="3"/>
      <c r="N4" s="1"/>
      <c r="O4" s="1"/>
      <c r="P4" s="1"/>
    </row>
    <row r="5" spans="2:17" x14ac:dyDescent="0.3">
      <c r="L5" s="1"/>
      <c r="M5" s="1"/>
      <c r="N5" s="1"/>
      <c r="O5" s="1"/>
      <c r="P5" s="1"/>
    </row>
    <row r="6" spans="2:17" x14ac:dyDescent="0.3">
      <c r="L6" s="1"/>
      <c r="M6" s="1"/>
      <c r="N6" s="1"/>
      <c r="O6" s="1"/>
      <c r="P6" s="1"/>
    </row>
    <row r="7" spans="2:17" x14ac:dyDescent="0.3">
      <c r="L7" s="3"/>
      <c r="M7" s="1"/>
      <c r="N7" s="1"/>
      <c r="O7" s="1"/>
      <c r="P7" s="1"/>
    </row>
    <row r="8" spans="2:17" x14ac:dyDescent="0.3">
      <c r="B8" s="1"/>
      <c r="C8" s="6" t="s">
        <v>5</v>
      </c>
      <c r="D8" s="6" t="s">
        <v>6</v>
      </c>
      <c r="E8" s="12"/>
      <c r="F8" s="1"/>
      <c r="G8" s="1"/>
      <c r="H8" s="1"/>
    </row>
    <row r="9" spans="2:17" x14ac:dyDescent="0.3">
      <c r="B9" s="7" t="s">
        <v>7</v>
      </c>
      <c r="C9" s="8">
        <v>5.5</v>
      </c>
      <c r="D9" s="8">
        <f>3*SIN(0.5*C9)-0.5*C9+2</f>
        <v>0.39498297615699496</v>
      </c>
      <c r="E9" s="1"/>
      <c r="F9" s="1"/>
      <c r="G9" s="3" t="s">
        <v>1</v>
      </c>
      <c r="H9" s="3" t="s">
        <v>2</v>
      </c>
    </row>
    <row r="10" spans="2:17" x14ac:dyDescent="0.3">
      <c r="B10" s="7" t="s">
        <v>8</v>
      </c>
      <c r="C10" s="8">
        <v>6</v>
      </c>
      <c r="D10" s="8">
        <f>3*SIN(0.5*C10)-0.5*C10+2</f>
        <v>-0.57663997582039839</v>
      </c>
      <c r="E10" s="1"/>
      <c r="F10" s="1"/>
      <c r="G10" s="1"/>
      <c r="H10" s="1"/>
    </row>
    <row r="11" spans="2:17" x14ac:dyDescent="0.3">
      <c r="B11" s="7"/>
      <c r="C11" s="1"/>
      <c r="D11" s="1"/>
      <c r="E11" s="1"/>
      <c r="F11" s="14"/>
      <c r="G11" s="1" t="s">
        <v>3</v>
      </c>
      <c r="H11" s="1"/>
    </row>
    <row r="12" spans="2:17" x14ac:dyDescent="0.3">
      <c r="B12" s="13"/>
      <c r="C12" s="14"/>
      <c r="D12" s="14"/>
      <c r="E12" s="14"/>
      <c r="F12" s="14"/>
      <c r="G12" s="3" t="s">
        <v>4</v>
      </c>
      <c r="H12" s="1"/>
    </row>
    <row r="13" spans="2:17" x14ac:dyDescent="0.3">
      <c r="B13" s="13"/>
      <c r="C13" s="14"/>
      <c r="D13" s="14"/>
      <c r="E13" s="14"/>
      <c r="F13" s="14"/>
      <c r="G13" s="1"/>
      <c r="H13" s="1"/>
    </row>
    <row r="14" spans="2:17" x14ac:dyDescent="0.3">
      <c r="B14" s="7"/>
      <c r="C14" s="1"/>
      <c r="D14" s="1"/>
      <c r="E14" s="1"/>
      <c r="F14" s="1"/>
      <c r="G14" s="1"/>
      <c r="H14" s="1"/>
    </row>
    <row r="15" spans="2:17" ht="18" x14ac:dyDescent="0.35">
      <c r="B15" s="7"/>
      <c r="C15" s="4" t="s">
        <v>9</v>
      </c>
      <c r="D15" s="1"/>
      <c r="E15" s="1"/>
      <c r="F15" s="1"/>
      <c r="G15" s="1"/>
      <c r="H15" s="1"/>
    </row>
    <row r="16" spans="2:17" x14ac:dyDescent="0.3">
      <c r="B16" s="7"/>
      <c r="C16" s="1"/>
      <c r="D16" s="1"/>
      <c r="E16" s="1"/>
      <c r="F16" s="1"/>
      <c r="G16" s="1"/>
      <c r="H16" s="1"/>
    </row>
    <row r="17" spans="2:8" x14ac:dyDescent="0.3">
      <c r="B17" s="7"/>
      <c r="C17" s="9" t="s">
        <v>7</v>
      </c>
      <c r="D17" s="9" t="s">
        <v>8</v>
      </c>
      <c r="E17" s="9" t="s">
        <v>10</v>
      </c>
      <c r="F17" s="9" t="s">
        <v>11</v>
      </c>
      <c r="G17" s="9" t="s">
        <v>12</v>
      </c>
      <c r="H17" s="10" t="s">
        <v>13</v>
      </c>
    </row>
    <row r="18" spans="2:8" x14ac:dyDescent="0.3">
      <c r="B18" s="7"/>
      <c r="C18" s="8">
        <v>5.5</v>
      </c>
      <c r="D18" s="8">
        <v>6</v>
      </c>
      <c r="E18" s="8">
        <f t="shared" ref="E18:E29" si="0">+(C18+D18)/2</f>
        <v>5.75</v>
      </c>
      <c r="F18" s="8">
        <f t="shared" ref="F18:F29" si="1">3*SIN(0.5*C18)-0.5*C18+2</f>
        <v>0.39498297615699496</v>
      </c>
      <c r="G18" s="8">
        <f t="shared" ref="G18:H18" si="2">3*SIN(0.5*D18)-0.5*D18+2</f>
        <v>-0.57663997582039839</v>
      </c>
      <c r="H18" s="8">
        <f t="shared" si="2"/>
        <v>-8.4662019909737651E-2</v>
      </c>
    </row>
    <row r="19" spans="2:8" x14ac:dyDescent="0.3">
      <c r="B19" s="7"/>
      <c r="C19" s="8">
        <f>+C18</f>
        <v>5.5</v>
      </c>
      <c r="D19" s="8">
        <f>+E18</f>
        <v>5.75</v>
      </c>
      <c r="E19" s="8">
        <f t="shared" si="0"/>
        <v>5.625</v>
      </c>
      <c r="F19" s="8">
        <f t="shared" si="1"/>
        <v>0.39498297615699496</v>
      </c>
      <c r="G19" s="8">
        <f t="shared" ref="G19" si="3">3*SIN(0.5*D19)-0.5*D19+2</f>
        <v>-8.4662019909737651E-2</v>
      </c>
      <c r="H19" s="8">
        <f t="shared" ref="H19" si="4">3*SIN(0.5*E19)-0.5*E19+2</f>
        <v>0.15705352099906067</v>
      </c>
    </row>
    <row r="20" spans="2:8" x14ac:dyDescent="0.3">
      <c r="B20" s="7"/>
      <c r="C20" s="8">
        <f>+E19</f>
        <v>5.625</v>
      </c>
      <c r="D20" s="8">
        <f>+D19</f>
        <v>5.75</v>
      </c>
      <c r="E20" s="8">
        <f t="shared" si="0"/>
        <v>5.6875</v>
      </c>
      <c r="F20" s="8">
        <f t="shared" si="1"/>
        <v>0.15705352099906067</v>
      </c>
      <c r="G20" s="8">
        <f t="shared" ref="G20" si="5">3*SIN(0.5*D20)-0.5*D20+2</f>
        <v>-8.4662019909737651E-2</v>
      </c>
      <c r="H20" s="8">
        <f t="shared" ref="H20" si="6">3*SIN(0.5*E20)-0.5*E20+2</f>
        <v>3.6625586454641201E-2</v>
      </c>
    </row>
    <row r="21" spans="2:8" x14ac:dyDescent="0.3">
      <c r="B21" s="7"/>
      <c r="C21" s="8">
        <f>+E20</f>
        <v>5.6875</v>
      </c>
      <c r="D21" s="8">
        <f>+D20</f>
        <v>5.75</v>
      </c>
      <c r="E21" s="8">
        <f t="shared" si="0"/>
        <v>5.71875</v>
      </c>
      <c r="F21" s="8">
        <f t="shared" si="1"/>
        <v>3.6625586454641201E-2</v>
      </c>
      <c r="G21" s="8">
        <f t="shared" ref="G21" si="7">3*SIN(0.5*D21)-0.5*D21+2</f>
        <v>-8.4662019909737651E-2</v>
      </c>
      <c r="H21" s="8">
        <f t="shared" ref="H21" si="8">3*SIN(0.5*E21)-0.5*E21+2</f>
        <v>-2.3916234089780275E-2</v>
      </c>
    </row>
    <row r="22" spans="2:8" x14ac:dyDescent="0.3">
      <c r="B22" s="7"/>
      <c r="C22" s="8">
        <f>+C21</f>
        <v>5.6875</v>
      </c>
      <c r="D22" s="8">
        <f>+E21</f>
        <v>5.71875</v>
      </c>
      <c r="E22" s="8">
        <f t="shared" si="0"/>
        <v>5.703125</v>
      </c>
      <c r="F22" s="8">
        <f t="shared" si="1"/>
        <v>3.6625586454641201E-2</v>
      </c>
      <c r="G22" s="8">
        <f t="shared" ref="G22" si="9">3*SIN(0.5*D22)-0.5*D22+2</f>
        <v>-2.3916234089780275E-2</v>
      </c>
      <c r="H22" s="8">
        <f t="shared" ref="H22" si="10">3*SIN(0.5*E22)-0.5*E22+2</f>
        <v>6.3808584027273962E-3</v>
      </c>
    </row>
    <row r="23" spans="2:8" x14ac:dyDescent="0.3">
      <c r="B23" s="7"/>
      <c r="C23" s="8">
        <f>+E22</f>
        <v>5.703125</v>
      </c>
      <c r="D23" s="8">
        <f>+D22</f>
        <v>5.71875</v>
      </c>
      <c r="E23" s="8">
        <f t="shared" si="0"/>
        <v>5.7109375</v>
      </c>
      <c r="F23" s="8">
        <f t="shared" si="1"/>
        <v>6.3808584027273962E-3</v>
      </c>
      <c r="G23" s="8">
        <f t="shared" ref="G23" si="11">3*SIN(0.5*D23)-0.5*D23+2</f>
        <v>-2.3916234089780275E-2</v>
      </c>
      <c r="H23" s="8">
        <f t="shared" ref="H23" si="12">3*SIN(0.5*E23)-0.5*E23+2</f>
        <v>-8.7612279860023179E-3</v>
      </c>
    </row>
    <row r="24" spans="2:8" x14ac:dyDescent="0.3">
      <c r="B24" s="7"/>
      <c r="C24" s="8">
        <f>+C23</f>
        <v>5.703125</v>
      </c>
      <c r="D24" s="8">
        <f>+E23</f>
        <v>5.7109375</v>
      </c>
      <c r="E24" s="8">
        <f t="shared" si="0"/>
        <v>5.70703125</v>
      </c>
      <c r="F24" s="8">
        <f t="shared" si="1"/>
        <v>6.3808584027273962E-3</v>
      </c>
      <c r="G24" s="8">
        <f t="shared" ref="G24" si="13">3*SIN(0.5*D24)-0.5*D24+2</f>
        <v>-8.7612279860023179E-3</v>
      </c>
      <c r="H24" s="8">
        <f t="shared" ref="H24" si="14">3*SIN(0.5*E24)-0.5*E24+2</f>
        <v>-1.1885591072906543E-3</v>
      </c>
    </row>
    <row r="25" spans="2:8" x14ac:dyDescent="0.3">
      <c r="B25" s="7"/>
      <c r="C25" s="8">
        <f>+C24</f>
        <v>5.703125</v>
      </c>
      <c r="D25" s="8">
        <f>+E24</f>
        <v>5.70703125</v>
      </c>
      <c r="E25" s="8">
        <f t="shared" si="0"/>
        <v>5.705078125</v>
      </c>
      <c r="F25" s="8">
        <f t="shared" si="1"/>
        <v>6.3808584027273962E-3</v>
      </c>
      <c r="G25" s="8">
        <f t="shared" ref="G25" si="15">3*SIN(0.5*D25)-0.5*D25+2</f>
        <v>-1.1885591072906543E-3</v>
      </c>
      <c r="H25" s="8">
        <f t="shared" ref="H25" si="16">3*SIN(0.5*E25)-0.5*E25+2</f>
        <v>2.5965574081250331E-3</v>
      </c>
    </row>
    <row r="26" spans="2:8" x14ac:dyDescent="0.3">
      <c r="B26" s="7"/>
      <c r="C26" s="8">
        <f>+E25</f>
        <v>5.705078125</v>
      </c>
      <c r="D26" s="8">
        <f>+D25</f>
        <v>5.70703125</v>
      </c>
      <c r="E26" s="8">
        <f t="shared" si="0"/>
        <v>5.7060546875</v>
      </c>
      <c r="F26" s="8">
        <f t="shared" si="1"/>
        <v>2.5965574081250331E-3</v>
      </c>
      <c r="G26" s="8">
        <f t="shared" ref="G26" si="17">3*SIN(0.5*D26)-0.5*D26+2</f>
        <v>-1.1885591072906543E-3</v>
      </c>
      <c r="H26" s="8">
        <f t="shared" ref="H26" si="18">3*SIN(0.5*E26)-0.5*E26+2</f>
        <v>7.0410092313410999E-4</v>
      </c>
    </row>
    <row r="27" spans="2:8" x14ac:dyDescent="0.3">
      <c r="B27" s="7"/>
      <c r="C27" s="8">
        <f>+E26</f>
        <v>5.7060546875</v>
      </c>
      <c r="D27" s="8">
        <f>+D26</f>
        <v>5.70703125</v>
      </c>
      <c r="E27" s="8">
        <f t="shared" si="0"/>
        <v>5.70654296875</v>
      </c>
      <c r="F27" s="8">
        <f t="shared" si="1"/>
        <v>7.0410092313410999E-4</v>
      </c>
      <c r="G27" s="8">
        <f t="shared" ref="G27" si="19">3*SIN(0.5*D27)-0.5*D27+2</f>
        <v>-1.1885591072906543E-3</v>
      </c>
      <c r="H27" s="8">
        <f t="shared" ref="H27" si="20">3*SIN(0.5*E27)-0.5*E27+2</f>
        <v>-2.4220366982463659E-4</v>
      </c>
    </row>
    <row r="28" spans="2:8" x14ac:dyDescent="0.3">
      <c r="B28" s="7"/>
      <c r="C28" s="8">
        <f>+C27</f>
        <v>5.7060546875</v>
      </c>
      <c r="D28" s="8">
        <f>+E27</f>
        <v>5.70654296875</v>
      </c>
      <c r="E28" s="8">
        <f t="shared" si="0"/>
        <v>5.706298828125</v>
      </c>
      <c r="F28" s="8">
        <f t="shared" si="1"/>
        <v>7.0410092313410999E-4</v>
      </c>
      <c r="G28" s="8">
        <f t="shared" ref="G28" si="21">3*SIN(0.5*D28)-0.5*D28+2</f>
        <v>-2.4220366982463659E-4</v>
      </c>
      <c r="H28" s="8">
        <f t="shared" ref="H28" si="22">3*SIN(0.5*E28)-0.5*E28+2</f>
        <v>2.3095498483405308E-4</v>
      </c>
    </row>
    <row r="29" spans="2:8" x14ac:dyDescent="0.3">
      <c r="B29" s="1"/>
      <c r="C29" s="8">
        <f>+E28</f>
        <v>5.706298828125</v>
      </c>
      <c r="D29" s="8">
        <f>+D28</f>
        <v>5.70654296875</v>
      </c>
      <c r="E29" s="18">
        <f t="shared" si="0"/>
        <v>5.7064208984375</v>
      </c>
      <c r="F29" s="8">
        <f t="shared" si="1"/>
        <v>2.3095498483405308E-4</v>
      </c>
      <c r="G29" s="8">
        <f t="shared" ref="G29" si="23">3*SIN(0.5*D29)-0.5*D29+2</f>
        <v>-2.4220366982463659E-4</v>
      </c>
      <c r="H29" s="17">
        <f t="shared" ref="H29" si="24">3*SIN(0.5*E29)-0.5*E29+2</f>
        <v>-5.622753277645387E-6</v>
      </c>
    </row>
    <row r="30" spans="2:8" x14ac:dyDescent="0.3">
      <c r="B30" s="1"/>
    </row>
    <row r="31" spans="2:8" x14ac:dyDescent="0.3">
      <c r="B31" s="1"/>
    </row>
    <row r="32" spans="2:8" ht="18" x14ac:dyDescent="0.35">
      <c r="B32" s="1"/>
      <c r="C32" s="4" t="s">
        <v>14</v>
      </c>
      <c r="D32" s="1"/>
      <c r="E32" s="1"/>
      <c r="F32" s="1"/>
      <c r="G32" s="1"/>
      <c r="H32" s="1"/>
    </row>
    <row r="33" spans="2:8" x14ac:dyDescent="0.3">
      <c r="B33" s="1"/>
      <c r="D33" s="1"/>
      <c r="E33" s="1"/>
      <c r="F33" s="1"/>
      <c r="G33" s="1"/>
      <c r="H33" s="1"/>
    </row>
    <row r="34" spans="2:8" x14ac:dyDescent="0.3">
      <c r="B34" s="1"/>
      <c r="C34" s="1"/>
      <c r="D34" s="1"/>
      <c r="E34" s="1"/>
      <c r="F34" s="1"/>
      <c r="G34" s="1"/>
      <c r="H34" s="1"/>
    </row>
    <row r="35" spans="2:8" x14ac:dyDescent="0.3">
      <c r="B35" s="1"/>
      <c r="C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  <row r="37" spans="2:8" x14ac:dyDescent="0.3">
      <c r="B37" s="1"/>
      <c r="C37" s="11" t="s">
        <v>5</v>
      </c>
      <c r="D37" s="11" t="s">
        <v>6</v>
      </c>
      <c r="E37" s="11" t="s">
        <v>15</v>
      </c>
      <c r="F37" s="1"/>
      <c r="G37" s="1"/>
      <c r="H37" s="1"/>
    </row>
    <row r="38" spans="2:8" x14ac:dyDescent="0.3">
      <c r="B38" s="1"/>
      <c r="C38" s="8">
        <v>5</v>
      </c>
      <c r="D38" s="8">
        <f>3*SIN(0.5*C38)-0.5*C38+2</f>
        <v>1.2954164323118698</v>
      </c>
      <c r="E38" s="8">
        <f>1.5*COS(0.5*C38)-0.5</f>
        <v>-1.7017154233204006</v>
      </c>
      <c r="F38" s="1"/>
      <c r="G38" s="1"/>
      <c r="H38" s="1"/>
    </row>
    <row r="39" spans="2:8" x14ac:dyDescent="0.3">
      <c r="B39" s="1"/>
      <c r="C39" s="8">
        <f>+C38-(D38/E38)</f>
        <v>5.7612415181524552</v>
      </c>
      <c r="D39" s="8">
        <f>3*SIN(0.5*C39)-0.5*C39+2</f>
        <v>-0.1065617807394954</v>
      </c>
      <c r="E39" s="8">
        <f>1.5*COS(0.5*C39)-0.5</f>
        <v>-1.9492094998702132</v>
      </c>
      <c r="F39" s="1"/>
      <c r="G39" s="3" t="s">
        <v>16</v>
      </c>
      <c r="H39" s="1"/>
    </row>
    <row r="40" spans="2:8" x14ac:dyDescent="0.3">
      <c r="B40" s="1"/>
      <c r="C40" s="8">
        <f>+C39-(D39/E39)</f>
        <v>5.7065722890385038</v>
      </c>
      <c r="D40" s="8">
        <f>3*SIN(0.5*C40)-0.5*C40+2</f>
        <v>-2.9902894015521042E-4</v>
      </c>
      <c r="E40" s="8">
        <f>1.5*COS(0.5*C40)-0.5</f>
        <v>-1.9380901380525537</v>
      </c>
      <c r="F40" s="1"/>
      <c r="G40" s="1"/>
      <c r="H40" s="1"/>
    </row>
    <row r="41" spans="2:8" x14ac:dyDescent="0.3">
      <c r="B41" s="1"/>
      <c r="C41" s="8">
        <f>+C40-(D40/E40)</f>
        <v>5.7064179985159509</v>
      </c>
      <c r="D41" s="8">
        <f>3*SIN(0.5*C41)-0.5*C41+2</f>
        <v>-2.5384503388181656E-9</v>
      </c>
      <c r="E41" s="8">
        <f>1.5*COS(0.5*C41)-0.5</f>
        <v>-1.9380572318163194</v>
      </c>
      <c r="F41" s="1"/>
      <c r="G41" s="1"/>
      <c r="H41" s="1"/>
    </row>
    <row r="42" spans="2:8" x14ac:dyDescent="0.3">
      <c r="B42" s="1"/>
      <c r="C42" s="18">
        <f>+C41-(D41/E41)</f>
        <v>5.7064179972061595</v>
      </c>
      <c r="D42" s="17">
        <f>3*SIN(0.5*C42)-0.5*C42+2</f>
        <v>0</v>
      </c>
      <c r="E42" s="8">
        <f>1.5*COS(0.5*C42)-0.5</f>
        <v>-1.938057231536938</v>
      </c>
      <c r="F42" s="1"/>
      <c r="G42" s="1"/>
      <c r="H42" s="1"/>
    </row>
    <row r="43" spans="2:8" x14ac:dyDescent="0.3">
      <c r="B43" s="1"/>
      <c r="C43" s="1"/>
      <c r="D43" s="1"/>
      <c r="E43" s="1"/>
      <c r="F43" s="1"/>
      <c r="G43" s="1"/>
      <c r="H43" s="1"/>
    </row>
    <row r="44" spans="2:8" x14ac:dyDescent="0.3">
      <c r="B44" s="1"/>
      <c r="C44" s="1"/>
      <c r="D44" s="1"/>
      <c r="E44" s="1"/>
      <c r="F44" s="1"/>
      <c r="H44" s="1"/>
    </row>
    <row r="45" spans="2:8" x14ac:dyDescent="0.3">
      <c r="B45" s="1"/>
      <c r="C45" s="1"/>
      <c r="D45" s="1"/>
      <c r="E45" s="1"/>
      <c r="F45" s="1"/>
      <c r="G45" s="1"/>
      <c r="H45" s="1"/>
    </row>
    <row r="46" spans="2:8" x14ac:dyDescent="0.3">
      <c r="C46" s="1"/>
      <c r="D46" s="1"/>
      <c r="E46" s="1"/>
      <c r="F46" s="1"/>
      <c r="G46" s="1"/>
      <c r="H46" s="1"/>
    </row>
    <row r="47" spans="2:8" x14ac:dyDescent="0.3">
      <c r="D47" s="1"/>
      <c r="E47" s="1"/>
      <c r="F47" s="1"/>
      <c r="G47" s="1"/>
      <c r="H47" s="1"/>
    </row>
    <row r="48" spans="2:8" x14ac:dyDescent="0.3">
      <c r="C48" s="1"/>
      <c r="D48" s="1"/>
      <c r="E48" s="1"/>
      <c r="F48" s="1"/>
      <c r="G48" s="1"/>
      <c r="H48" s="1"/>
    </row>
    <row r="51" spans="3:6" ht="18" x14ac:dyDescent="0.35">
      <c r="C51" s="4" t="s">
        <v>17</v>
      </c>
    </row>
    <row r="53" spans="3:6" x14ac:dyDescent="0.3">
      <c r="C53" s="19" t="s">
        <v>18</v>
      </c>
      <c r="D53" s="19" t="s">
        <v>5</v>
      </c>
      <c r="E53" s="19" t="s">
        <v>6</v>
      </c>
      <c r="F53" s="19" t="s">
        <v>19</v>
      </c>
    </row>
    <row r="54" spans="3:6" x14ac:dyDescent="0.3">
      <c r="C54" s="8">
        <v>0</v>
      </c>
      <c r="D54" s="8">
        <v>6.5</v>
      </c>
      <c r="E54" s="8">
        <f t="shared" ref="E54:E60" si="25">3*SIN(0.5*D54)-0.5*D54+2</f>
        <v>-1.5745854035903251</v>
      </c>
      <c r="F54" s="8">
        <v>5.0000000000000001E-4</v>
      </c>
    </row>
    <row r="55" spans="3:6" x14ac:dyDescent="0.3">
      <c r="C55" s="8">
        <v>1</v>
      </c>
      <c r="D55" s="8">
        <v>7</v>
      </c>
      <c r="E55" s="8">
        <f t="shared" si="25"/>
        <v>-2.5523496830688597</v>
      </c>
      <c r="F55" s="8"/>
    </row>
    <row r="56" spans="3:6" x14ac:dyDescent="0.3">
      <c r="C56" s="8">
        <v>2</v>
      </c>
      <c r="D56" s="8">
        <f>+D55-E55*((D55-D54)/(E55-E54))</f>
        <v>5.6948031664492333</v>
      </c>
      <c r="E56" s="8">
        <f t="shared" si="25"/>
        <v>2.2495725200891936E-2</v>
      </c>
      <c r="F56" s="8"/>
    </row>
    <row r="57" spans="3:6" x14ac:dyDescent="0.3">
      <c r="C57" s="8">
        <v>3</v>
      </c>
      <c r="D57" s="8">
        <f>+D56-E56*((D56-D55)/(E56-E55))</f>
        <v>5.706206316792291</v>
      </c>
      <c r="E57" s="8">
        <f t="shared" si="25"/>
        <v>4.1024397741695751E-4</v>
      </c>
      <c r="F57" s="8"/>
    </row>
    <row r="58" spans="3:6" x14ac:dyDescent="0.3">
      <c r="C58" s="8">
        <v>4</v>
      </c>
      <c r="D58" s="8">
        <f>+D57-E57*((D57-D56)/(E57-E56))</f>
        <v>5.7064181334923427</v>
      </c>
      <c r="E58" s="8">
        <f t="shared" si="25"/>
        <v>-2.6413042508721674E-7</v>
      </c>
      <c r="F58" s="8"/>
    </row>
    <row r="59" spans="3:6" x14ac:dyDescent="0.3">
      <c r="C59" s="8">
        <v>5</v>
      </c>
      <c r="D59" s="8">
        <f>+D58-E58*((D58-D57)/(E58-E57))</f>
        <v>5.7064179972045714</v>
      </c>
      <c r="E59" s="8">
        <f t="shared" si="25"/>
        <v>3.077760268865859E-12</v>
      </c>
      <c r="F59" s="8"/>
    </row>
    <row r="60" spans="3:6" x14ac:dyDescent="0.3">
      <c r="C60" s="8">
        <v>6</v>
      </c>
      <c r="D60" s="18">
        <f>+D59-E59*((D59-D58)/(E59-E58))</f>
        <v>5.7064179972061595</v>
      </c>
      <c r="E60" s="17">
        <f t="shared" si="25"/>
        <v>0</v>
      </c>
      <c r="F60" s="8"/>
    </row>
    <row r="61" spans="3:6" x14ac:dyDescent="0.3">
      <c r="C61" s="14"/>
      <c r="D61" s="20"/>
      <c r="E61" s="20"/>
      <c r="F61" s="14"/>
    </row>
    <row r="62" spans="3:6" x14ac:dyDescent="0.3">
      <c r="C62" s="16"/>
      <c r="D62" s="16"/>
      <c r="E62" s="16"/>
      <c r="F62" s="16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EE2A-3008-4D2D-B211-8135A00D269E}">
  <dimension ref="B2:R65"/>
  <sheetViews>
    <sheetView topLeftCell="A34" workbookViewId="0">
      <selection activeCell="G49" sqref="G49"/>
    </sheetView>
  </sheetViews>
  <sheetFormatPr baseColWidth="10" defaultRowHeight="14.4" x14ac:dyDescent="0.3"/>
  <cols>
    <col min="3" max="4" width="11.5546875" customWidth="1"/>
  </cols>
  <sheetData>
    <row r="2" spans="2:18" ht="21" x14ac:dyDescent="0.4">
      <c r="B2" s="5" t="s">
        <v>0</v>
      </c>
    </row>
    <row r="3" spans="2:18" x14ac:dyDescent="0.3">
      <c r="R3" t="s">
        <v>20</v>
      </c>
    </row>
    <row r="4" spans="2:18" x14ac:dyDescent="0.3">
      <c r="L4" s="3"/>
      <c r="M4" s="3"/>
      <c r="N4" s="1"/>
      <c r="O4" s="1"/>
      <c r="P4" s="1"/>
    </row>
    <row r="5" spans="2:18" x14ac:dyDescent="0.3">
      <c r="L5" s="1"/>
      <c r="M5" s="1"/>
      <c r="N5" s="1"/>
      <c r="O5" s="1"/>
      <c r="P5" s="1"/>
    </row>
    <row r="6" spans="2:18" x14ac:dyDescent="0.3">
      <c r="L6" s="1"/>
      <c r="M6" s="1"/>
      <c r="N6" s="1"/>
      <c r="O6" s="1"/>
      <c r="P6" s="1"/>
    </row>
    <row r="7" spans="2:18" x14ac:dyDescent="0.3">
      <c r="L7" s="3"/>
      <c r="M7" s="1"/>
      <c r="N7" s="1"/>
      <c r="O7" s="1"/>
      <c r="P7" s="1"/>
    </row>
    <row r="8" spans="2:18" x14ac:dyDescent="0.3">
      <c r="B8" s="1"/>
      <c r="C8" s="6" t="s">
        <v>5</v>
      </c>
      <c r="D8" s="6" t="s">
        <v>6</v>
      </c>
      <c r="E8" s="12"/>
      <c r="F8" s="1"/>
      <c r="G8" s="1"/>
      <c r="H8" s="1"/>
    </row>
    <row r="9" spans="2:18" x14ac:dyDescent="0.3">
      <c r="B9" s="7" t="s">
        <v>7</v>
      </c>
      <c r="C9" s="8">
        <v>1.5</v>
      </c>
      <c r="D9" s="8">
        <f>+C9^(3)-C9^(2)*EXP(-0.5*C9)-3*C9+1</f>
        <v>-1.1878247436672833</v>
      </c>
      <c r="E9" s="1"/>
      <c r="F9" s="1"/>
    </row>
    <row r="10" spans="2:18" x14ac:dyDescent="0.3">
      <c r="B10" s="7" t="s">
        <v>8</v>
      </c>
      <c r="C10" s="8">
        <v>2</v>
      </c>
      <c r="D10" s="8">
        <f>+C10^(3)-C10^(2)*EXP(-0.5*C10)-3*C10+1</f>
        <v>1.5284822353142307</v>
      </c>
      <c r="E10" s="1"/>
      <c r="F10" s="1"/>
      <c r="G10" s="3" t="s">
        <v>1</v>
      </c>
      <c r="H10" s="3" t="s">
        <v>2</v>
      </c>
    </row>
    <row r="11" spans="2:18" x14ac:dyDescent="0.3">
      <c r="B11" s="7"/>
      <c r="C11" s="1"/>
      <c r="D11" s="1"/>
      <c r="E11" s="1"/>
      <c r="F11" s="1"/>
      <c r="G11" s="1"/>
      <c r="H11" s="1"/>
    </row>
    <row r="12" spans="2:18" x14ac:dyDescent="0.3">
      <c r="B12" s="13"/>
      <c r="C12" s="14"/>
      <c r="D12" s="14"/>
      <c r="E12" s="14"/>
      <c r="F12" s="1"/>
      <c r="G12" s="1" t="s">
        <v>3</v>
      </c>
      <c r="H12" s="1"/>
    </row>
    <row r="13" spans="2:18" x14ac:dyDescent="0.3">
      <c r="B13" s="13"/>
      <c r="C13" s="14"/>
      <c r="D13" s="14"/>
      <c r="E13" s="14"/>
      <c r="F13" s="1"/>
      <c r="G13" s="3" t="s">
        <v>4</v>
      </c>
      <c r="H13" s="1"/>
    </row>
    <row r="14" spans="2:18" x14ac:dyDescent="0.3">
      <c r="B14" s="13"/>
      <c r="C14" s="14"/>
      <c r="D14" s="14"/>
      <c r="E14" s="14"/>
      <c r="F14" s="1"/>
      <c r="G14" s="1"/>
      <c r="H14" s="1"/>
    </row>
    <row r="15" spans="2:18" ht="18" x14ac:dyDescent="0.35">
      <c r="B15" s="7"/>
      <c r="C15" s="4" t="s">
        <v>9</v>
      </c>
      <c r="D15" s="1"/>
      <c r="E15" s="1"/>
      <c r="F15" s="1"/>
      <c r="G15" s="1"/>
      <c r="H15" s="1"/>
    </row>
    <row r="16" spans="2:18" x14ac:dyDescent="0.3">
      <c r="B16" s="7"/>
      <c r="C16" s="1"/>
      <c r="D16" s="1"/>
      <c r="E16" s="1"/>
      <c r="F16" s="1"/>
      <c r="G16" s="1"/>
      <c r="H16" s="1"/>
    </row>
    <row r="17" spans="2:9" x14ac:dyDescent="0.3">
      <c r="B17" s="7"/>
      <c r="C17" s="9" t="s">
        <v>7</v>
      </c>
      <c r="D17" s="9" t="s">
        <v>8</v>
      </c>
      <c r="E17" s="9" t="s">
        <v>10</v>
      </c>
      <c r="F17" s="9" t="s">
        <v>11</v>
      </c>
      <c r="G17" s="9" t="s">
        <v>12</v>
      </c>
      <c r="H17" s="10" t="s">
        <v>13</v>
      </c>
    </row>
    <row r="18" spans="2:9" x14ac:dyDescent="0.3">
      <c r="B18" s="7"/>
      <c r="C18" s="8">
        <v>1.5</v>
      </c>
      <c r="D18" s="8">
        <v>2</v>
      </c>
      <c r="E18" s="8">
        <f t="shared" ref="E18:E31" si="0">+(C18+D18)/2</f>
        <v>1.75</v>
      </c>
      <c r="F18" s="8">
        <f t="shared" ref="F18:F31" si="1">+C18^(3)-C18^(2)*EXP(-0.5*C18)-3*C18+1</f>
        <v>-1.1878247436672833</v>
      </c>
      <c r="G18" s="8">
        <f t="shared" ref="G18:H18" si="2">+D18^(3)-D18^(2)*EXP(-0.5*D18)-3*D18+1</f>
        <v>1.5284822353142307</v>
      </c>
      <c r="H18" s="8">
        <f t="shared" si="2"/>
        <v>-0.16726493526543162</v>
      </c>
    </row>
    <row r="19" spans="2:9" x14ac:dyDescent="0.3">
      <c r="B19" s="7"/>
      <c r="C19" s="8">
        <f>+E18</f>
        <v>1.75</v>
      </c>
      <c r="D19" s="8">
        <f>+D18</f>
        <v>2</v>
      </c>
      <c r="E19" s="8">
        <f t="shared" si="0"/>
        <v>1.875</v>
      </c>
      <c r="F19" s="8">
        <f t="shared" si="1"/>
        <v>-0.16726493526543162</v>
      </c>
      <c r="G19" s="8">
        <f t="shared" ref="G19" si="3">+D19^(3)-D19^(2)*EXP(-0.5*D19)-3*D19+1</f>
        <v>1.5284822353142307</v>
      </c>
      <c r="H19" s="8">
        <f t="shared" ref="H19" si="4">+E19^(3)-E19^(2)*EXP(-0.5*E19)-3*E19+1</f>
        <v>0.59005834371437871</v>
      </c>
    </row>
    <row r="20" spans="2:9" x14ac:dyDescent="0.3">
      <c r="B20" s="7"/>
      <c r="C20" s="8">
        <f>+C19</f>
        <v>1.75</v>
      </c>
      <c r="D20" s="8">
        <f>+E19</f>
        <v>1.875</v>
      </c>
      <c r="E20" s="8">
        <f t="shared" si="0"/>
        <v>1.8125</v>
      </c>
      <c r="F20" s="8">
        <f t="shared" si="1"/>
        <v>-0.16726493526543162</v>
      </c>
      <c r="G20" s="8">
        <f t="shared" ref="G20" si="5">+D20^(3)-D20^(2)*EXP(-0.5*D20)-3*D20+1</f>
        <v>0.59005834371437871</v>
      </c>
      <c r="H20" s="8">
        <f t="shared" ref="H20" si="6">+E20^(3)-E20^(2)*EXP(-0.5*E20)-3*E20+1</f>
        <v>0.18952259218409928</v>
      </c>
    </row>
    <row r="21" spans="2:9" x14ac:dyDescent="0.3">
      <c r="B21" s="7"/>
      <c r="C21" s="8">
        <f>+C20</f>
        <v>1.75</v>
      </c>
      <c r="D21" s="8">
        <f>+E20</f>
        <v>1.8125</v>
      </c>
      <c r="E21" s="8">
        <f t="shared" si="0"/>
        <v>1.78125</v>
      </c>
      <c r="F21" s="8">
        <f t="shared" si="1"/>
        <v>-0.16726493526543162</v>
      </c>
      <c r="G21" s="8">
        <f t="shared" ref="G21" si="7">+D21^(3)-D21^(2)*EXP(-0.5*D21)-3*D21+1</f>
        <v>0.18952259218409928</v>
      </c>
      <c r="H21" s="8">
        <f t="shared" ref="H21" si="8">+E21^(3)-E21^(2)*EXP(-0.5*E21)-3*E21+1</f>
        <v>5.7561880955994127E-3</v>
      </c>
    </row>
    <row r="22" spans="2:9" x14ac:dyDescent="0.3">
      <c r="B22" s="7"/>
      <c r="C22" s="8">
        <f>+C21</f>
        <v>1.75</v>
      </c>
      <c r="D22" s="8">
        <f>+E21</f>
        <v>1.78125</v>
      </c>
      <c r="E22" s="8">
        <f t="shared" si="0"/>
        <v>1.765625</v>
      </c>
      <c r="F22" s="8">
        <f t="shared" si="1"/>
        <v>-0.16726493526543162</v>
      </c>
      <c r="G22" s="8">
        <f t="shared" ref="G22" si="9">+D22^(3)-D22^(2)*EXP(-0.5*D22)-3*D22+1</f>
        <v>5.7561880955994127E-3</v>
      </c>
      <c r="H22" s="8">
        <f t="shared" ref="H22" si="10">+E22^(3)-E22^(2)*EXP(-0.5*E22)-3*E22+1</f>
        <v>-8.2085517878812908E-2</v>
      </c>
    </row>
    <row r="23" spans="2:9" x14ac:dyDescent="0.3">
      <c r="B23" s="7"/>
      <c r="C23" s="8">
        <f>+E22</f>
        <v>1.765625</v>
      </c>
      <c r="D23" s="8">
        <f>+D22</f>
        <v>1.78125</v>
      </c>
      <c r="E23" s="8">
        <f t="shared" si="0"/>
        <v>1.7734375</v>
      </c>
      <c r="F23" s="8">
        <f t="shared" si="1"/>
        <v>-8.2085517878812908E-2</v>
      </c>
      <c r="G23" s="8">
        <f t="shared" ref="G23" si="11">+D23^(3)-D23^(2)*EXP(-0.5*D23)-3*D23+1</f>
        <v>5.7561880955994127E-3</v>
      </c>
      <c r="H23" s="8">
        <f t="shared" ref="H23" si="12">+E23^(3)-E23^(2)*EXP(-0.5*E23)-3*E23+1</f>
        <v>-3.8498954300466792E-2</v>
      </c>
    </row>
    <row r="24" spans="2:9" x14ac:dyDescent="0.3">
      <c r="B24" s="7"/>
      <c r="C24" s="8">
        <f>+E23</f>
        <v>1.7734375</v>
      </c>
      <c r="D24" s="8">
        <f>+D23</f>
        <v>1.78125</v>
      </c>
      <c r="E24" s="8">
        <f t="shared" si="0"/>
        <v>1.77734375</v>
      </c>
      <c r="F24" s="8">
        <f t="shared" si="1"/>
        <v>-3.8498954300466792E-2</v>
      </c>
      <c r="G24" s="8">
        <f t="shared" ref="G24" si="13">+D24^(3)-D24^(2)*EXP(-0.5*D24)-3*D24+1</f>
        <v>5.7561880955994127E-3</v>
      </c>
      <c r="H24" s="8">
        <f t="shared" ref="H24" si="14">+E24^(3)-E24^(2)*EXP(-0.5*E24)-3*E24+1</f>
        <v>-1.6455143251628002E-2</v>
      </c>
    </row>
    <row r="25" spans="2:9" x14ac:dyDescent="0.3">
      <c r="B25" s="7"/>
      <c r="C25" s="8">
        <f>+E24</f>
        <v>1.77734375</v>
      </c>
      <c r="D25" s="8">
        <f>+D24</f>
        <v>1.78125</v>
      </c>
      <c r="E25" s="8">
        <f t="shared" si="0"/>
        <v>1.779296875</v>
      </c>
      <c r="F25" s="8">
        <f t="shared" si="1"/>
        <v>-1.6455143251628002E-2</v>
      </c>
      <c r="G25" s="8">
        <f t="shared" ref="G25" si="15">+D25^(3)-D25^(2)*EXP(-0.5*D25)-3*D25+1</f>
        <v>5.7561880955994127E-3</v>
      </c>
      <c r="H25" s="8">
        <f t="shared" ref="H25" si="16">+E25^(3)-E25^(2)*EXP(-0.5*E25)-3*E25+1</f>
        <v>-5.3704410824852999E-3</v>
      </c>
    </row>
    <row r="26" spans="2:9" x14ac:dyDescent="0.3">
      <c r="B26" s="7"/>
      <c r="C26" s="8">
        <f>+E25</f>
        <v>1.779296875</v>
      </c>
      <c r="D26" s="8">
        <f>+D25</f>
        <v>1.78125</v>
      </c>
      <c r="E26" s="8">
        <f t="shared" si="0"/>
        <v>1.7802734375</v>
      </c>
      <c r="F26" s="8">
        <f t="shared" si="1"/>
        <v>-5.3704410824852999E-3</v>
      </c>
      <c r="G26" s="8">
        <f t="shared" ref="G26" si="17">+D26^(3)-D26^(2)*EXP(-0.5*D26)-3*D26+1</f>
        <v>5.7561880955994127E-3</v>
      </c>
      <c r="H26" s="8">
        <f t="shared" ref="H26" si="18">+E26^(3)-E26^(2)*EXP(-0.5*E26)-3*E26+1</f>
        <v>1.8762969750696357E-4</v>
      </c>
    </row>
    <row r="27" spans="2:9" x14ac:dyDescent="0.3">
      <c r="B27" s="7"/>
      <c r="C27" s="8">
        <f>+C26</f>
        <v>1.779296875</v>
      </c>
      <c r="D27" s="8">
        <f>+E26</f>
        <v>1.7802734375</v>
      </c>
      <c r="E27" s="8">
        <f t="shared" si="0"/>
        <v>1.77978515625</v>
      </c>
      <c r="F27" s="8">
        <f t="shared" si="1"/>
        <v>-5.3704410824852999E-3</v>
      </c>
      <c r="G27" s="8">
        <f t="shared" ref="G27:G31" si="19">+D27^(3)-D27^(2)*EXP(-0.5*D27)-3*D27+1</f>
        <v>1.8762969750696357E-4</v>
      </c>
      <c r="H27" s="8">
        <f t="shared" ref="H27:H31" si="20">+E27^(3)-E27^(2)*EXP(-0.5*E27)-3*E27+1</f>
        <v>-2.5927162781558266E-3</v>
      </c>
    </row>
    <row r="28" spans="2:9" x14ac:dyDescent="0.3">
      <c r="B28" s="7"/>
      <c r="C28" s="8">
        <f>+E27</f>
        <v>1.77978515625</v>
      </c>
      <c r="D28" s="8">
        <f>+D27</f>
        <v>1.7802734375</v>
      </c>
      <c r="E28" s="8">
        <f t="shared" si="0"/>
        <v>1.780029296875</v>
      </c>
      <c r="F28" s="8">
        <f t="shared" si="1"/>
        <v>-2.5927162781558266E-3</v>
      </c>
      <c r="G28" s="8">
        <f t="shared" si="19"/>
        <v>1.8762969750696357E-4</v>
      </c>
      <c r="H28" s="8">
        <f t="shared" si="20"/>
        <v>-1.2028709825662176E-3</v>
      </c>
    </row>
    <row r="29" spans="2:9" x14ac:dyDescent="0.3">
      <c r="B29" s="1"/>
      <c r="C29" s="8">
        <f>+E28</f>
        <v>1.780029296875</v>
      </c>
      <c r="D29" s="8">
        <f>+D28</f>
        <v>1.7802734375</v>
      </c>
      <c r="E29" s="8">
        <f t="shared" si="0"/>
        <v>1.7801513671875</v>
      </c>
      <c r="F29" s="8">
        <f t="shared" si="1"/>
        <v>-1.2028709825662176E-3</v>
      </c>
      <c r="G29" s="8">
        <f t="shared" si="19"/>
        <v>1.8762969750696357E-4</v>
      </c>
      <c r="H29" s="8">
        <f t="shared" si="20"/>
        <v>-5.0770257131826924E-4</v>
      </c>
    </row>
    <row r="30" spans="2:9" x14ac:dyDescent="0.3">
      <c r="B30" s="1"/>
      <c r="C30" s="8">
        <f>+E29</f>
        <v>1.7801513671875</v>
      </c>
      <c r="D30" s="8">
        <f>+D29</f>
        <v>1.7802734375</v>
      </c>
      <c r="E30" s="8">
        <f t="shared" si="0"/>
        <v>1.78021240234375</v>
      </c>
      <c r="F30" s="8">
        <f t="shared" si="1"/>
        <v>-5.0770257131826924E-4</v>
      </c>
      <c r="G30" s="8">
        <f t="shared" si="19"/>
        <v>1.8762969750696357E-4</v>
      </c>
      <c r="H30" s="8">
        <f t="shared" si="20"/>
        <v>-1.6005691981924031E-4</v>
      </c>
    </row>
    <row r="31" spans="2:9" x14ac:dyDescent="0.3">
      <c r="B31" s="1"/>
      <c r="C31" s="8">
        <f>+E30</f>
        <v>1.78021240234375</v>
      </c>
      <c r="D31" s="8">
        <f>+D30</f>
        <v>1.7802734375</v>
      </c>
      <c r="E31" s="18">
        <f t="shared" si="0"/>
        <v>1.780242919921875</v>
      </c>
      <c r="F31" s="8">
        <f t="shared" si="1"/>
        <v>-1.6005691981924031E-4</v>
      </c>
      <c r="G31" s="8">
        <f t="shared" si="19"/>
        <v>1.8762969750696357E-4</v>
      </c>
      <c r="H31" s="17">
        <f t="shared" si="20"/>
        <v>1.3781268026313853E-5</v>
      </c>
    </row>
    <row r="32" spans="2:9" x14ac:dyDescent="0.3">
      <c r="B32" s="14"/>
      <c r="C32" s="16"/>
      <c r="D32" s="16"/>
      <c r="E32" s="16"/>
      <c r="F32" s="16"/>
      <c r="G32" s="16"/>
      <c r="H32" s="16"/>
      <c r="I32" s="16"/>
    </row>
    <row r="33" spans="2:8" x14ac:dyDescent="0.3">
      <c r="B33" s="14"/>
    </row>
    <row r="34" spans="2:8" ht="18" x14ac:dyDescent="0.35">
      <c r="B34" s="1"/>
      <c r="C34" s="4" t="s">
        <v>14</v>
      </c>
      <c r="D34" s="1"/>
      <c r="E34" s="1"/>
      <c r="F34" s="1"/>
      <c r="G34" s="1"/>
      <c r="H34" s="1"/>
    </row>
    <row r="35" spans="2:8" x14ac:dyDescent="0.3">
      <c r="B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  <row r="37" spans="2:8" x14ac:dyDescent="0.3">
      <c r="B37" s="1"/>
      <c r="C37" s="1"/>
      <c r="D37" s="1"/>
      <c r="E37" s="1"/>
      <c r="F37" s="1"/>
      <c r="G37" s="1"/>
      <c r="H37" s="1"/>
    </row>
    <row r="38" spans="2:8" x14ac:dyDescent="0.3">
      <c r="B38" s="1"/>
      <c r="C38" s="1"/>
      <c r="D38" s="1"/>
      <c r="E38" s="1"/>
      <c r="F38" s="1"/>
      <c r="G38" s="1"/>
      <c r="H38" s="1"/>
    </row>
    <row r="39" spans="2:8" x14ac:dyDescent="0.3">
      <c r="B39" s="1"/>
      <c r="C39" s="11" t="s">
        <v>5</v>
      </c>
      <c r="D39" s="11" t="s">
        <v>6</v>
      </c>
      <c r="E39" s="11" t="s">
        <v>15</v>
      </c>
      <c r="F39" s="1"/>
      <c r="G39" s="1"/>
      <c r="H39" s="1"/>
    </row>
    <row r="40" spans="2:8" x14ac:dyDescent="0.3">
      <c r="B40" s="1"/>
      <c r="C40" s="8">
        <v>1.9</v>
      </c>
      <c r="D40" s="8">
        <f t="shared" ref="D40:D45" si="21">+C40^(3)-C40^(2)*EXP(-0.5*C40)-3*C40+1</f>
        <v>0.76286490532925022</v>
      </c>
      <c r="E40" s="8">
        <f t="shared" ref="E40:E45" si="22">3*C40^(2)+EXP(-0.5*C40)*(0.5*C40^(2)-2*C40)-3</f>
        <v>7.0584516582082699</v>
      </c>
      <c r="F40" s="1"/>
      <c r="G40" s="1"/>
      <c r="H40" s="1"/>
    </row>
    <row r="41" spans="2:8" x14ac:dyDescent="0.3">
      <c r="B41" s="1"/>
      <c r="C41" s="8">
        <f>+C40-(D40/E40)</f>
        <v>1.791921777994737</v>
      </c>
      <c r="D41" s="8">
        <f t="shared" si="21"/>
        <v>6.7294002337382253E-2</v>
      </c>
      <c r="E41" s="8">
        <f t="shared" si="22"/>
        <v>5.825357807353031</v>
      </c>
      <c r="F41" s="1"/>
      <c r="G41" s="3" t="s">
        <v>16</v>
      </c>
      <c r="H41" s="1"/>
    </row>
    <row r="42" spans="2:8" x14ac:dyDescent="0.3">
      <c r="B42" s="1"/>
      <c r="C42" s="8">
        <f>+C41-(D41/E41)</f>
        <v>1.7803698691570617</v>
      </c>
      <c r="D42" s="8">
        <f t="shared" si="21"/>
        <v>7.3703588916984586E-4</v>
      </c>
      <c r="E42" s="8">
        <f t="shared" si="22"/>
        <v>5.6978936325924856</v>
      </c>
      <c r="F42" s="1"/>
      <c r="G42" s="1"/>
      <c r="H42" s="1"/>
    </row>
    <row r="43" spans="2:8" x14ac:dyDescent="0.3">
      <c r="B43" s="1"/>
      <c r="C43" s="8">
        <f>+C42-(D42/E42)</f>
        <v>1.7802405168144779</v>
      </c>
      <c r="D43" s="8">
        <f t="shared" si="21"/>
        <v>9.2004410312540585E-8</v>
      </c>
      <c r="E43" s="8">
        <f t="shared" si="22"/>
        <v>5.6964711106443424</v>
      </c>
      <c r="F43" s="1"/>
      <c r="G43" s="1"/>
      <c r="H43" s="1"/>
    </row>
    <row r="44" spans="2:8" x14ac:dyDescent="0.3">
      <c r="B44" s="1"/>
      <c r="C44" s="8">
        <f>+C43-(D43/E43)</f>
        <v>1.7802405006633542</v>
      </c>
      <c r="D44" s="8">
        <f t="shared" si="21"/>
        <v>1.7763568394002505E-15</v>
      </c>
      <c r="E44" s="8">
        <f t="shared" si="22"/>
        <v>5.6964709330327405</v>
      </c>
      <c r="F44" s="1"/>
      <c r="G44" s="1"/>
      <c r="H44" s="1"/>
    </row>
    <row r="45" spans="2:8" x14ac:dyDescent="0.3">
      <c r="B45" s="1"/>
      <c r="C45" s="18">
        <f>+C44-(D44/E44)</f>
        <v>1.7802405006633539</v>
      </c>
      <c r="D45" s="17">
        <f t="shared" si="21"/>
        <v>0</v>
      </c>
      <c r="E45" s="8">
        <f t="shared" si="22"/>
        <v>5.6964709330327352</v>
      </c>
      <c r="F45" s="1"/>
      <c r="G45" s="1"/>
      <c r="H45" s="1"/>
    </row>
    <row r="46" spans="2:8" x14ac:dyDescent="0.3">
      <c r="B46" s="16"/>
      <c r="C46" s="14"/>
      <c r="D46" s="14"/>
      <c r="E46" s="14"/>
      <c r="F46" s="14"/>
      <c r="G46" s="1"/>
      <c r="H46" s="1"/>
    </row>
    <row r="47" spans="2:8" x14ac:dyDescent="0.3">
      <c r="B47" s="16"/>
      <c r="C47" s="14"/>
      <c r="D47" s="14"/>
      <c r="E47" s="14"/>
      <c r="F47" s="14"/>
      <c r="G47" s="1"/>
      <c r="H47" s="1"/>
    </row>
    <row r="48" spans="2:8" x14ac:dyDescent="0.3">
      <c r="B48" s="16"/>
      <c r="C48" s="14"/>
      <c r="D48" s="14"/>
      <c r="E48" s="14"/>
      <c r="F48" s="14"/>
      <c r="G48" s="1"/>
      <c r="H48" s="1"/>
    </row>
    <row r="49" spans="2:8" x14ac:dyDescent="0.3">
      <c r="B49" s="16"/>
      <c r="C49" s="14"/>
      <c r="D49" s="14"/>
      <c r="E49" s="14"/>
      <c r="F49" s="14"/>
      <c r="H49" s="1"/>
    </row>
    <row r="50" spans="2:8" x14ac:dyDescent="0.3">
      <c r="C50" s="1"/>
      <c r="D50" s="1"/>
      <c r="E50" s="1"/>
      <c r="F50" s="1"/>
      <c r="G50" s="1"/>
      <c r="H50" s="1"/>
    </row>
    <row r="51" spans="2:8" x14ac:dyDescent="0.3">
      <c r="C51" s="1"/>
      <c r="D51" s="1"/>
      <c r="E51" s="1"/>
      <c r="F51" s="1"/>
      <c r="G51" s="1"/>
      <c r="H51" s="1"/>
    </row>
    <row r="52" spans="2:8" ht="18" x14ac:dyDescent="0.35">
      <c r="C52" s="4" t="s">
        <v>17</v>
      </c>
      <c r="D52" s="1"/>
      <c r="E52" s="1"/>
      <c r="F52" s="1"/>
      <c r="G52" s="1"/>
      <c r="H52" s="1"/>
    </row>
    <row r="54" spans="2:8" x14ac:dyDescent="0.3">
      <c r="C54" s="19" t="s">
        <v>18</v>
      </c>
      <c r="D54" s="19" t="s">
        <v>5</v>
      </c>
      <c r="E54" s="19" t="s">
        <v>6</v>
      </c>
      <c r="F54" s="19" t="s">
        <v>19</v>
      </c>
    </row>
    <row r="55" spans="2:8" x14ac:dyDescent="0.3">
      <c r="C55" s="8">
        <v>0</v>
      </c>
      <c r="D55" s="8">
        <v>2.5</v>
      </c>
      <c r="E55" s="8">
        <f t="shared" ref="E55:E65" si="23">+D55^(3)-D55^(2)*EXP(-0.5*D55)-3*D55+1</f>
        <v>7.3343450196238127</v>
      </c>
      <c r="F55" s="8">
        <v>5.0000000000000001E-4</v>
      </c>
    </row>
    <row r="56" spans="2:8" x14ac:dyDescent="0.3">
      <c r="C56" s="8">
        <v>1</v>
      </c>
      <c r="D56" s="8">
        <v>3</v>
      </c>
      <c r="E56" s="8">
        <f t="shared" si="23"/>
        <v>16.991828558664132</v>
      </c>
      <c r="F56" s="8"/>
    </row>
    <row r="57" spans="2:8" x14ac:dyDescent="0.3">
      <c r="C57" s="8">
        <v>2</v>
      </c>
      <c r="D57" s="8">
        <f t="shared" ref="D57:D65" si="24">+D56-E56*((D56-D55)/(E56-E55))</f>
        <v>2.1202765974192568</v>
      </c>
      <c r="E57" s="8">
        <f t="shared" si="23"/>
        <v>2.6137261659156081</v>
      </c>
      <c r="F57" s="8"/>
    </row>
    <row r="58" spans="2:8" x14ac:dyDescent="0.3">
      <c r="C58" s="8">
        <v>3</v>
      </c>
      <c r="D58" s="8">
        <f t="shared" si="24"/>
        <v>1.9603559059896798</v>
      </c>
      <c r="E58" s="8">
        <f t="shared" si="23"/>
        <v>1.2105086336281081</v>
      </c>
      <c r="F58" s="8"/>
    </row>
    <row r="59" spans="2:8" x14ac:dyDescent="0.3">
      <c r="C59" s="8">
        <v>4</v>
      </c>
      <c r="D59" s="8">
        <f t="shared" si="24"/>
        <v>1.8223976969330269</v>
      </c>
      <c r="E59" s="8">
        <f t="shared" si="23"/>
        <v>0.24999777949551216</v>
      </c>
      <c r="F59" s="8"/>
    </row>
    <row r="60" spans="2:8" x14ac:dyDescent="0.3">
      <c r="C60" s="8">
        <v>5</v>
      </c>
      <c r="D60" s="8">
        <f t="shared" si="24"/>
        <v>1.7864905067342374</v>
      </c>
      <c r="E60" s="8">
        <f t="shared" si="23"/>
        <v>3.5818016930148744E-2</v>
      </c>
      <c r="F60" s="8"/>
    </row>
    <row r="61" spans="2:8" x14ac:dyDescent="0.3">
      <c r="C61" s="8">
        <v>6</v>
      </c>
      <c r="D61" s="21">
        <f t="shared" si="24"/>
        <v>1.7804856240550822</v>
      </c>
      <c r="E61" s="21">
        <f t="shared" si="23"/>
        <v>1.3966686671533779E-3</v>
      </c>
      <c r="F61" s="8"/>
    </row>
    <row r="62" spans="2:8" x14ac:dyDescent="0.3">
      <c r="B62" s="16"/>
      <c r="C62" s="8">
        <v>7</v>
      </c>
      <c r="D62" s="21">
        <f t="shared" si="24"/>
        <v>1.780241972021936</v>
      </c>
      <c r="E62" s="21">
        <f t="shared" si="23"/>
        <v>8.3815632994088674E-6</v>
      </c>
      <c r="F62" s="8"/>
      <c r="G62" s="16"/>
    </row>
    <row r="63" spans="2:8" x14ac:dyDescent="0.3">
      <c r="C63" s="8">
        <v>8</v>
      </c>
      <c r="D63" s="21">
        <f t="shared" si="24"/>
        <v>1.7802405010114128</v>
      </c>
      <c r="E63" s="21">
        <f t="shared" si="23"/>
        <v>1.9827073316491806E-9</v>
      </c>
      <c r="F63" s="15"/>
    </row>
    <row r="64" spans="2:8" x14ac:dyDescent="0.3">
      <c r="C64" s="8">
        <v>9</v>
      </c>
      <c r="D64" s="21">
        <f t="shared" si="24"/>
        <v>1.7802405006633544</v>
      </c>
      <c r="E64" s="21">
        <f t="shared" si="23"/>
        <v>2.6645352591003757E-15</v>
      </c>
      <c r="F64" s="8"/>
    </row>
    <row r="65" spans="3:6" x14ac:dyDescent="0.3">
      <c r="C65" s="8">
        <v>10</v>
      </c>
      <c r="D65" s="18">
        <f t="shared" si="24"/>
        <v>1.7802405006633539</v>
      </c>
      <c r="E65" s="17">
        <f t="shared" si="23"/>
        <v>0</v>
      </c>
      <c r="F65" s="8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06AD-287F-4166-A200-D8E89DF91C7C}">
  <dimension ref="B2:R64"/>
  <sheetViews>
    <sheetView tabSelected="1" topLeftCell="A31" workbookViewId="0">
      <selection activeCell="G46" sqref="G46"/>
    </sheetView>
  </sheetViews>
  <sheetFormatPr baseColWidth="10" defaultRowHeight="14.4" x14ac:dyDescent="0.3"/>
  <sheetData>
    <row r="2" spans="2:18" ht="21" x14ac:dyDescent="0.4">
      <c r="B2" s="5" t="s">
        <v>0</v>
      </c>
    </row>
    <row r="3" spans="2:18" x14ac:dyDescent="0.3">
      <c r="R3" t="s">
        <v>20</v>
      </c>
    </row>
    <row r="4" spans="2:18" x14ac:dyDescent="0.3">
      <c r="L4" s="3"/>
      <c r="M4" s="3"/>
    </row>
    <row r="5" spans="2:18" x14ac:dyDescent="0.3">
      <c r="L5" s="1"/>
      <c r="M5" s="1"/>
    </row>
    <row r="6" spans="2:18" x14ac:dyDescent="0.3">
      <c r="L6" s="1"/>
      <c r="M6" s="1"/>
    </row>
    <row r="7" spans="2:18" x14ac:dyDescent="0.3">
      <c r="L7" s="3"/>
      <c r="M7" s="1"/>
    </row>
    <row r="8" spans="2:18" x14ac:dyDescent="0.3">
      <c r="B8" s="1"/>
      <c r="C8" s="6" t="s">
        <v>5</v>
      </c>
      <c r="D8" s="6" t="s">
        <v>6</v>
      </c>
      <c r="E8" s="12"/>
      <c r="F8" s="1"/>
      <c r="G8" s="1"/>
      <c r="H8" s="1"/>
    </row>
    <row r="9" spans="2:18" x14ac:dyDescent="0.3">
      <c r="B9" s="7" t="s">
        <v>7</v>
      </c>
      <c r="C9" s="8">
        <v>3.5</v>
      </c>
      <c r="D9" s="8">
        <f>+COS(C9)^(2)-0.5*C9*EXP(0.3*C9)+5</f>
        <v>0.87606167056111595</v>
      </c>
      <c r="E9" s="1"/>
      <c r="F9" s="1"/>
      <c r="G9" s="3" t="s">
        <v>1</v>
      </c>
      <c r="H9" s="3" t="s">
        <v>2</v>
      </c>
    </row>
    <row r="10" spans="2:18" x14ac:dyDescent="0.3">
      <c r="B10" s="7" t="s">
        <v>8</v>
      </c>
      <c r="C10" s="8">
        <v>4</v>
      </c>
      <c r="D10" s="8">
        <f>+COS(C10)^(2)-0.5*C10*EXP(0.3*C10)+5</f>
        <v>-1.212983862377401</v>
      </c>
      <c r="E10" s="1"/>
      <c r="F10" s="1"/>
      <c r="G10" s="1"/>
      <c r="H10" s="1"/>
    </row>
    <row r="11" spans="2:18" x14ac:dyDescent="0.3">
      <c r="B11" s="7"/>
      <c r="C11" s="1"/>
      <c r="D11" s="1"/>
      <c r="E11" s="1"/>
      <c r="F11" s="1"/>
      <c r="G11" s="1" t="s">
        <v>3</v>
      </c>
      <c r="H11" s="1"/>
    </row>
    <row r="12" spans="2:18" x14ac:dyDescent="0.3">
      <c r="B12" s="13"/>
      <c r="C12" s="14"/>
      <c r="D12" s="14"/>
      <c r="E12" s="14"/>
      <c r="F12" s="1"/>
      <c r="G12" s="3" t="s">
        <v>4</v>
      </c>
      <c r="H12" s="1"/>
    </row>
    <row r="13" spans="2:18" x14ac:dyDescent="0.3">
      <c r="B13" s="13"/>
      <c r="C13" s="14"/>
      <c r="D13" s="14"/>
      <c r="E13" s="14"/>
      <c r="F13" s="1"/>
      <c r="G13" s="1"/>
      <c r="H13" s="1"/>
    </row>
    <row r="14" spans="2:18" x14ac:dyDescent="0.3">
      <c r="B14" s="7"/>
      <c r="C14" s="1"/>
      <c r="D14" s="1"/>
      <c r="E14" s="1"/>
      <c r="F14" s="1"/>
      <c r="G14" s="1"/>
      <c r="H14" s="1"/>
    </row>
    <row r="15" spans="2:18" ht="18" x14ac:dyDescent="0.35">
      <c r="B15" s="7"/>
      <c r="C15" s="4" t="s">
        <v>9</v>
      </c>
      <c r="D15" s="1"/>
      <c r="E15" s="1"/>
      <c r="F15" s="1"/>
      <c r="G15" s="1"/>
      <c r="H15" s="1"/>
    </row>
    <row r="16" spans="2:18" x14ac:dyDescent="0.3">
      <c r="B16" s="7"/>
      <c r="C16" s="1"/>
      <c r="D16" s="1"/>
      <c r="E16" s="1"/>
      <c r="F16" s="1"/>
      <c r="G16" s="1"/>
      <c r="H16" s="1"/>
    </row>
    <row r="17" spans="2:16" x14ac:dyDescent="0.3">
      <c r="B17" s="7"/>
      <c r="C17" s="9" t="s">
        <v>7</v>
      </c>
      <c r="D17" s="9" t="s">
        <v>8</v>
      </c>
      <c r="E17" s="9" t="s">
        <v>10</v>
      </c>
      <c r="F17" s="9" t="s">
        <v>11</v>
      </c>
      <c r="G17" s="9" t="s">
        <v>12</v>
      </c>
      <c r="H17" s="10" t="s">
        <v>13</v>
      </c>
    </row>
    <row r="18" spans="2:16" x14ac:dyDescent="0.3">
      <c r="B18" s="7"/>
      <c r="C18" s="8">
        <v>3.5</v>
      </c>
      <c r="D18" s="8">
        <v>4</v>
      </c>
      <c r="E18" s="8">
        <f t="shared" ref="E18" si="0">+(C18+D18)/2</f>
        <v>3.75</v>
      </c>
      <c r="F18" s="8">
        <f t="shared" ref="F18:F26" si="1">+COS(C18)^(2)-0.5*C18*EXP(0.3*C18)+5</f>
        <v>0.87606167056111595</v>
      </c>
      <c r="G18" s="8">
        <f t="shared" ref="G18:H18" si="2">+COS(D18)^(2)-0.5*D18*EXP(0.3*D18)+5</f>
        <v>-1.212983862377401</v>
      </c>
      <c r="H18" s="8">
        <f t="shared" si="2"/>
        <v>-0.10208893280379527</v>
      </c>
      <c r="N18" s="1"/>
      <c r="O18" s="1"/>
      <c r="P18" s="1"/>
    </row>
    <row r="19" spans="2:16" x14ac:dyDescent="0.3">
      <c r="B19" s="7"/>
      <c r="C19" s="8">
        <f>+C18</f>
        <v>3.5</v>
      </c>
      <c r="D19" s="8">
        <f>+E18</f>
        <v>3.75</v>
      </c>
      <c r="E19" s="8">
        <f t="shared" ref="E19:E26" si="3">+(C19+D19)/2</f>
        <v>3.625</v>
      </c>
      <c r="F19" s="8">
        <f t="shared" si="1"/>
        <v>0.87606167056111595</v>
      </c>
      <c r="G19" s="8">
        <f t="shared" ref="G19" si="4">+COS(D19)^(2)-0.5*D19*EXP(0.3*D19)+5</f>
        <v>-0.10208893280379527</v>
      </c>
      <c r="H19" s="8">
        <f t="shared" ref="H19:H26" si="5">+COS(E19)^(2)-0.5*E19*EXP(0.3*E19)+5</f>
        <v>0.40655067707081294</v>
      </c>
      <c r="N19" s="1"/>
      <c r="O19" s="1"/>
      <c r="P19" s="1"/>
    </row>
    <row r="20" spans="2:16" x14ac:dyDescent="0.3">
      <c r="B20" s="7"/>
      <c r="C20" s="8">
        <f>+E19</f>
        <v>3.625</v>
      </c>
      <c r="D20" s="8">
        <f>+D19</f>
        <v>3.75</v>
      </c>
      <c r="E20" s="8">
        <f t="shared" si="3"/>
        <v>3.6875</v>
      </c>
      <c r="F20" s="8">
        <f t="shared" si="1"/>
        <v>0.40655067707081294</v>
      </c>
      <c r="G20" s="8">
        <f t="shared" ref="G20" si="6">+COS(D20)^(2)-0.5*D20*EXP(0.3*D20)+5</f>
        <v>-0.10208893280379527</v>
      </c>
      <c r="H20" s="8">
        <f t="shared" si="5"/>
        <v>0.15677999132921183</v>
      </c>
      <c r="N20" s="1"/>
      <c r="O20" s="1"/>
      <c r="P20" s="1"/>
    </row>
    <row r="21" spans="2:16" x14ac:dyDescent="0.3">
      <c r="B21" s="7"/>
      <c r="C21" s="8">
        <f>+E20</f>
        <v>3.6875</v>
      </c>
      <c r="D21" s="8">
        <f>+D20</f>
        <v>3.75</v>
      </c>
      <c r="E21" s="8">
        <f t="shared" si="3"/>
        <v>3.71875</v>
      </c>
      <c r="F21" s="8">
        <f t="shared" si="1"/>
        <v>0.15677999132921183</v>
      </c>
      <c r="G21" s="8">
        <f t="shared" ref="G21" si="7">+COS(D21)^(2)-0.5*D21*EXP(0.3*D21)+5</f>
        <v>-0.10208893280379527</v>
      </c>
      <c r="H21" s="8">
        <f t="shared" si="5"/>
        <v>2.8436804737782317E-2</v>
      </c>
      <c r="N21" s="1"/>
      <c r="O21" s="1"/>
      <c r="P21" s="1"/>
    </row>
    <row r="22" spans="2:16" x14ac:dyDescent="0.3">
      <c r="B22" s="7"/>
      <c r="C22" s="8">
        <f>+E21</f>
        <v>3.71875</v>
      </c>
      <c r="D22" s="8">
        <f>+D21</f>
        <v>3.75</v>
      </c>
      <c r="E22" s="8">
        <f t="shared" si="3"/>
        <v>3.734375</v>
      </c>
      <c r="F22" s="8">
        <f t="shared" si="1"/>
        <v>2.8436804737782317E-2</v>
      </c>
      <c r="G22" s="8">
        <f t="shared" ref="G22" si="8">+COS(D22)^(2)-0.5*D22*EXP(0.3*D22)+5</f>
        <v>-0.10208893280379527</v>
      </c>
      <c r="H22" s="8">
        <f t="shared" si="5"/>
        <v>-3.6559165284978157E-2</v>
      </c>
    </row>
    <row r="23" spans="2:16" x14ac:dyDescent="0.3">
      <c r="B23" s="7"/>
      <c r="C23" s="8">
        <f>+C22</f>
        <v>3.71875</v>
      </c>
      <c r="D23" s="8">
        <f>+E22</f>
        <v>3.734375</v>
      </c>
      <c r="E23" s="8">
        <f t="shared" si="3"/>
        <v>3.7265625</v>
      </c>
      <c r="F23" s="8">
        <f t="shared" si="1"/>
        <v>2.8436804737782317E-2</v>
      </c>
      <c r="G23" s="8">
        <f t="shared" ref="G23" si="9">+COS(D23)^(2)-0.5*D23*EXP(0.3*D23)+5</f>
        <v>-3.6559165284978157E-2</v>
      </c>
      <c r="H23" s="8">
        <f t="shared" si="5"/>
        <v>-3.9937086888297557E-3</v>
      </c>
    </row>
    <row r="24" spans="2:16" x14ac:dyDescent="0.3">
      <c r="B24" s="7"/>
      <c r="C24" s="8">
        <f>+C23</f>
        <v>3.71875</v>
      </c>
      <c r="D24" s="8">
        <f>+E23</f>
        <v>3.7265625</v>
      </c>
      <c r="E24" s="8">
        <f t="shared" si="3"/>
        <v>3.72265625</v>
      </c>
      <c r="F24" s="8">
        <f t="shared" si="1"/>
        <v>2.8436804737782317E-2</v>
      </c>
      <c r="G24" s="8">
        <f t="shared" ref="G24" si="10">+COS(D24)^(2)-0.5*D24*EXP(0.3*D24)+5</f>
        <v>-3.9937086888297557E-3</v>
      </c>
      <c r="H24" s="8">
        <f t="shared" si="5"/>
        <v>1.2238508701804207E-2</v>
      </c>
    </row>
    <row r="25" spans="2:16" x14ac:dyDescent="0.3">
      <c r="B25" s="7"/>
      <c r="C25" s="8">
        <f>+E24</f>
        <v>3.72265625</v>
      </c>
      <c r="D25" s="8">
        <f>+D24</f>
        <v>3.7265625</v>
      </c>
      <c r="E25" s="8">
        <f t="shared" si="3"/>
        <v>3.724609375</v>
      </c>
      <c r="F25" s="8">
        <f t="shared" si="1"/>
        <v>1.2238508701804207E-2</v>
      </c>
      <c r="G25" s="8">
        <f t="shared" ref="G25" si="11">+COS(D25)^(2)-0.5*D25*EXP(0.3*D25)+5</f>
        <v>-3.9937086888297557E-3</v>
      </c>
      <c r="H25" s="8">
        <f t="shared" si="5"/>
        <v>4.1266286048040612E-3</v>
      </c>
    </row>
    <row r="26" spans="2:16" x14ac:dyDescent="0.3">
      <c r="B26" s="7"/>
      <c r="C26" s="8">
        <f>+E25</f>
        <v>3.724609375</v>
      </c>
      <c r="D26" s="8">
        <f>+D25</f>
        <v>3.7265625</v>
      </c>
      <c r="E26" s="18">
        <f t="shared" si="3"/>
        <v>3.7255859375</v>
      </c>
      <c r="F26" s="8">
        <f t="shared" si="1"/>
        <v>4.1266286048040612E-3</v>
      </c>
      <c r="G26" s="8">
        <f t="shared" ref="G26" si="12">+COS(D26)^(2)-0.5*D26*EXP(0.3*D26)+5</f>
        <v>-3.9937086888297557E-3</v>
      </c>
      <c r="H26" s="17">
        <f t="shared" si="5"/>
        <v>6.7515658837891124E-5</v>
      </c>
    </row>
    <row r="27" spans="2:16" x14ac:dyDescent="0.3">
      <c r="B27" s="13"/>
      <c r="C27" s="14"/>
      <c r="D27" s="14"/>
      <c r="E27" s="14"/>
      <c r="F27" s="14"/>
      <c r="G27" s="14"/>
      <c r="H27" s="14"/>
    </row>
    <row r="28" spans="2:16" x14ac:dyDescent="0.3">
      <c r="B28" s="13"/>
      <c r="C28" s="14"/>
      <c r="D28" s="14"/>
      <c r="E28" s="14"/>
      <c r="F28" s="14"/>
      <c r="G28" s="14"/>
      <c r="H28" s="14"/>
    </row>
    <row r="29" spans="2:16" x14ac:dyDescent="0.3">
      <c r="B29" s="1"/>
    </row>
    <row r="30" spans="2:16" x14ac:dyDescent="0.3">
      <c r="B30" s="1"/>
    </row>
    <row r="31" spans="2:16" x14ac:dyDescent="0.3">
      <c r="B31" s="1"/>
    </row>
    <row r="32" spans="2:16" x14ac:dyDescent="0.3">
      <c r="B32" s="1"/>
    </row>
    <row r="33" spans="2:8" ht="18" x14ac:dyDescent="0.35">
      <c r="B33" s="1"/>
      <c r="C33" s="4" t="s">
        <v>14</v>
      </c>
      <c r="D33" s="1"/>
      <c r="E33" s="1"/>
      <c r="F33" s="1"/>
      <c r="G33" s="1"/>
      <c r="H33" s="1"/>
    </row>
    <row r="34" spans="2:8" x14ac:dyDescent="0.3">
      <c r="B34" s="1"/>
      <c r="D34" s="1"/>
      <c r="E34" s="1"/>
      <c r="F34" s="1"/>
      <c r="G34" s="1"/>
      <c r="H34" s="1"/>
    </row>
    <row r="35" spans="2:8" x14ac:dyDescent="0.3">
      <c r="B35" s="1"/>
      <c r="C35" s="1"/>
      <c r="D35" s="1"/>
      <c r="E35" s="1"/>
      <c r="F35" s="1"/>
      <c r="G35" s="1"/>
      <c r="H35" s="1"/>
    </row>
    <row r="36" spans="2:8" x14ac:dyDescent="0.3">
      <c r="B36" s="1"/>
      <c r="C36" s="1"/>
      <c r="D36" s="1"/>
      <c r="E36" s="1"/>
      <c r="F36" s="1"/>
      <c r="G36" s="1"/>
      <c r="H36" s="1"/>
    </row>
    <row r="37" spans="2:8" x14ac:dyDescent="0.3">
      <c r="B37" s="1"/>
      <c r="C37" s="1"/>
      <c r="D37" s="1"/>
      <c r="E37" s="1"/>
      <c r="F37" s="1"/>
      <c r="G37" s="1"/>
      <c r="H37" s="1"/>
    </row>
    <row r="38" spans="2:8" x14ac:dyDescent="0.3">
      <c r="B38" s="1"/>
      <c r="C38" s="11" t="s">
        <v>5</v>
      </c>
      <c r="D38" s="11" t="s">
        <v>6</v>
      </c>
      <c r="E38" s="11" t="s">
        <v>15</v>
      </c>
      <c r="F38" s="1"/>
      <c r="G38" s="1"/>
      <c r="H38" s="1"/>
    </row>
    <row r="39" spans="2:8" x14ac:dyDescent="0.3">
      <c r="B39" s="1"/>
      <c r="C39" s="8">
        <v>3</v>
      </c>
      <c r="D39" s="8">
        <f t="shared" ref="D39:D44" si="13">+COS(C39)^(2)-0.5*C39*EXP(0.3*C39)+5</f>
        <v>2.2906804765897588</v>
      </c>
      <c r="E39" s="8">
        <f t="shared" ref="E39:E44" si="14">+-2*SIN(C39)*COS(C39)-0.5*EXP(0.3*C39)-0.15*C39*EXP(0.3*C39)</f>
        <v>-2.057207457400176</v>
      </c>
      <c r="F39" s="1"/>
      <c r="G39" s="1"/>
      <c r="H39" s="1"/>
    </row>
    <row r="40" spans="2:8" x14ac:dyDescent="0.3">
      <c r="B40" s="1"/>
      <c r="C40" s="8">
        <f>+C39-(D39/E39)</f>
        <v>4.1134902648489504</v>
      </c>
      <c r="D40" s="8">
        <f t="shared" si="13"/>
        <v>-1.7473374442184539</v>
      </c>
      <c r="E40" s="8">
        <f t="shared" si="14"/>
        <v>-4.7683302679123969</v>
      </c>
      <c r="F40" s="1"/>
      <c r="G40" s="3" t="s">
        <v>16</v>
      </c>
      <c r="H40" s="1"/>
    </row>
    <row r="41" spans="2:8" x14ac:dyDescent="0.3">
      <c r="B41" s="1"/>
      <c r="C41" s="8">
        <f>+C40-(D40/E40)</f>
        <v>3.7470438683027965</v>
      </c>
      <c r="D41" s="8">
        <f t="shared" si="13"/>
        <v>-8.9650810797873071E-2</v>
      </c>
      <c r="E41" s="8">
        <f t="shared" si="14"/>
        <v>-4.2043988793151126</v>
      </c>
      <c r="F41" s="1"/>
      <c r="G41" s="1"/>
      <c r="H41" s="1"/>
    </row>
    <row r="42" spans="2:8" x14ac:dyDescent="0.3">
      <c r="B42" s="1"/>
      <c r="C42" s="8">
        <f>+C41-(D41/E41)</f>
        <v>3.7257207699547927</v>
      </c>
      <c r="D42" s="8">
        <f t="shared" si="13"/>
        <v>-4.9308565697803175E-4</v>
      </c>
      <c r="E42" s="8">
        <f t="shared" si="14"/>
        <v>-4.157911675268295</v>
      </c>
      <c r="F42" s="1"/>
      <c r="G42" s="1"/>
      <c r="H42" s="1"/>
    </row>
    <row r="43" spans="2:8" x14ac:dyDescent="0.3">
      <c r="B43" s="1"/>
      <c r="C43" s="8">
        <f>+C42-(D42/E42)</f>
        <v>3.7256021802166051</v>
      </c>
      <c r="D43" s="8">
        <f t="shared" si="13"/>
        <v>-1.5565994715416309E-8</v>
      </c>
      <c r="E43" s="8">
        <f t="shared" si="14"/>
        <v>-4.1576491495827099</v>
      </c>
      <c r="F43" s="1"/>
      <c r="G43" s="1"/>
      <c r="H43" s="1"/>
    </row>
    <row r="44" spans="2:8" x14ac:dyDescent="0.3">
      <c r="B44" s="1"/>
      <c r="C44" s="18">
        <f>+C43-(D43/E43)</f>
        <v>3.7256021764726635</v>
      </c>
      <c r="D44" s="17">
        <f t="shared" si="13"/>
        <v>0</v>
      </c>
      <c r="E44" s="8">
        <f t="shared" si="14"/>
        <v>-4.1576491412939429</v>
      </c>
      <c r="F44" s="1"/>
      <c r="G44" s="1"/>
      <c r="H44" s="1"/>
    </row>
    <row r="45" spans="2:8" x14ac:dyDescent="0.3">
      <c r="C45" s="1"/>
      <c r="D45" s="1"/>
      <c r="E45" s="1"/>
      <c r="F45" s="1"/>
      <c r="G45" s="1"/>
      <c r="H45" s="1"/>
    </row>
    <row r="46" spans="2:8" x14ac:dyDescent="0.3">
      <c r="C46" s="1"/>
      <c r="D46" s="1"/>
      <c r="E46" s="1"/>
      <c r="F46" s="1"/>
      <c r="G46" s="1"/>
      <c r="H46" s="1"/>
    </row>
    <row r="47" spans="2:8" x14ac:dyDescent="0.3">
      <c r="C47" s="1"/>
      <c r="D47" s="1"/>
      <c r="E47" s="1"/>
      <c r="F47" s="1"/>
      <c r="G47" s="1"/>
      <c r="H47" s="1"/>
    </row>
    <row r="48" spans="2:8" x14ac:dyDescent="0.3">
      <c r="C48" s="1"/>
      <c r="D48" s="1"/>
      <c r="E48" s="1"/>
      <c r="F48" s="1"/>
      <c r="H48" s="1"/>
    </row>
    <row r="49" spans="2:8" x14ac:dyDescent="0.3">
      <c r="C49" s="1"/>
      <c r="D49" s="1"/>
      <c r="E49" s="1"/>
      <c r="F49" s="1"/>
      <c r="G49" s="1"/>
      <c r="H49" s="1"/>
    </row>
    <row r="50" spans="2:8" x14ac:dyDescent="0.3">
      <c r="C50" s="1"/>
      <c r="D50" s="1"/>
      <c r="E50" s="1"/>
      <c r="F50" s="1"/>
      <c r="G50" s="1"/>
      <c r="H50" s="1"/>
    </row>
    <row r="51" spans="2:8" ht="18" x14ac:dyDescent="0.35">
      <c r="C51" s="4" t="s">
        <v>17</v>
      </c>
      <c r="D51" s="1"/>
      <c r="E51" s="1"/>
      <c r="F51" s="1"/>
      <c r="G51" s="1"/>
      <c r="H51" s="1"/>
    </row>
    <row r="53" spans="2:8" x14ac:dyDescent="0.3">
      <c r="C53" s="19" t="s">
        <v>18</v>
      </c>
      <c r="D53" s="19" t="s">
        <v>5</v>
      </c>
      <c r="E53" s="19" t="s">
        <v>6</v>
      </c>
      <c r="F53" s="19" t="s">
        <v>19</v>
      </c>
    </row>
    <row r="54" spans="2:8" x14ac:dyDescent="0.3">
      <c r="C54" s="8">
        <v>0</v>
      </c>
      <c r="D54" s="8">
        <v>4</v>
      </c>
      <c r="E54" s="8">
        <f t="shared" ref="E54:E61" si="15">+COS(D54)^(2)-0.5*D54*EXP(0.3*D54)+5</f>
        <v>-1.212983862377401</v>
      </c>
      <c r="F54" s="8">
        <v>5.0000000000000001E-4</v>
      </c>
    </row>
    <row r="55" spans="2:8" x14ac:dyDescent="0.3">
      <c r="C55" s="8">
        <v>1</v>
      </c>
      <c r="D55" s="8">
        <v>4.5</v>
      </c>
      <c r="E55" s="8">
        <f t="shared" si="15"/>
        <v>-3.6347725750105297</v>
      </c>
      <c r="F55" s="8"/>
    </row>
    <row r="56" spans="2:8" x14ac:dyDescent="0.3">
      <c r="C56" s="8">
        <v>2</v>
      </c>
      <c r="D56" s="8">
        <f t="shared" ref="D56:D61" si="16">+D55-E55*((D55-D54)/(E55-E54))</f>
        <v>3.7495686027336044</v>
      </c>
      <c r="E56" s="8">
        <f t="shared" si="15"/>
        <v>-0.10027263413449994</v>
      </c>
      <c r="F56" s="8"/>
    </row>
    <row r="57" spans="2:8" x14ac:dyDescent="0.3">
      <c r="C57" s="8">
        <v>3</v>
      </c>
      <c r="D57" s="8">
        <f t="shared" si="16"/>
        <v>3.7282791037380307</v>
      </c>
      <c r="E57" s="8">
        <f t="shared" si="15"/>
        <v>-1.1137646776239407E-2</v>
      </c>
      <c r="F57" s="8"/>
    </row>
    <row r="58" spans="2:8" x14ac:dyDescent="0.3">
      <c r="C58" s="8">
        <v>4</v>
      </c>
      <c r="D58" s="8">
        <f t="shared" si="16"/>
        <v>3.7256189258787713</v>
      </c>
      <c r="E58" s="8">
        <f t="shared" si="15"/>
        <v>-6.963846446694788E-5</v>
      </c>
      <c r="F58" s="8"/>
    </row>
    <row r="59" spans="2:8" x14ac:dyDescent="0.3">
      <c r="B59" s="1"/>
      <c r="C59" s="8">
        <v>5</v>
      </c>
      <c r="D59" s="8">
        <f t="shared" si="16"/>
        <v>3.7256021883867034</v>
      </c>
      <c r="E59" s="8">
        <f t="shared" si="15"/>
        <v>-4.9534396140415993E-8</v>
      </c>
      <c r="F59" s="8"/>
      <c r="G59" s="1"/>
      <c r="H59" s="1"/>
    </row>
    <row r="60" spans="2:8" x14ac:dyDescent="0.3">
      <c r="C60" s="8">
        <v>6</v>
      </c>
      <c r="D60" s="8">
        <f t="shared" si="16"/>
        <v>3.7256021764727172</v>
      </c>
      <c r="E60" s="8">
        <f t="shared" si="15"/>
        <v>-2.2204460492503131E-13</v>
      </c>
      <c r="F60" s="8"/>
    </row>
    <row r="61" spans="2:8" x14ac:dyDescent="0.3">
      <c r="C61" s="8">
        <v>7</v>
      </c>
      <c r="D61" s="18">
        <f t="shared" si="16"/>
        <v>3.7256021764726639</v>
      </c>
      <c r="E61" s="17">
        <f t="shared" si="15"/>
        <v>0</v>
      </c>
      <c r="F61" s="8"/>
    </row>
    <row r="62" spans="2:8" x14ac:dyDescent="0.3">
      <c r="C62" s="16"/>
      <c r="D62" s="14"/>
      <c r="E62" s="14"/>
      <c r="F62" s="16"/>
    </row>
    <row r="63" spans="2:8" x14ac:dyDescent="0.3">
      <c r="C63" s="16"/>
      <c r="D63" s="14"/>
      <c r="E63" s="14"/>
      <c r="F63" s="16"/>
    </row>
    <row r="64" spans="2:8" x14ac:dyDescent="0.3">
      <c r="C64" s="16"/>
      <c r="D64" s="16"/>
      <c r="E64" s="16"/>
      <c r="F64" s="1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Problema1</vt:lpstr>
      <vt:lpstr>Problema2</vt:lpstr>
      <vt:lpstr>Problema3</vt:lpstr>
      <vt:lpstr>Problema4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ERICK</cp:lastModifiedBy>
  <dcterms:created xsi:type="dcterms:W3CDTF">2025-11-13T14:42:32Z</dcterms:created>
  <dcterms:modified xsi:type="dcterms:W3CDTF">2025-11-22T07:06:52Z</dcterms:modified>
</cp:coreProperties>
</file>